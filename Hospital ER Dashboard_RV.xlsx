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05f5c80a1cf41496/Desktop/Satish dhawale/Hospital ER Data Analysis/"/>
    </mc:Choice>
  </mc:AlternateContent>
  <xr:revisionPtr revIDLastSave="1" documentId="8_{F9B57F3B-3EB6-4D9B-8924-25AA5E285501}" xr6:coauthVersionLast="47" xr6:coauthVersionMax="47" xr10:uidLastSave="{4602D589-DF49-4C59-AD67-1FA1DC2E40C7}"/>
  <bookViews>
    <workbookView xWindow="-108" yWindow="-108" windowWidth="23256" windowHeight="12456" activeTab="1" xr2:uid="{F124F956-3650-4918-989C-35FC53027214}"/>
  </bookViews>
  <sheets>
    <sheet name="pivot report" sheetId="1" r:id="rId1"/>
    <sheet name="Dashboard" sheetId="3" r:id="rId2"/>
    <sheet name="daily ER patient data" sheetId="4" r:id="rId3"/>
    <sheet name="Average wait time" sheetId="5" r:id="rId4"/>
    <sheet name="satisfaction score" sheetId="6" r:id="rId5"/>
    <sheet name="Sheet7" sheetId="7" r:id="rId6"/>
  </sheets>
  <definedNames>
    <definedName name="Slicer_Date__Month">#N/A</definedName>
    <definedName name="Slicer_Date__Year">#N/A</definedName>
  </definedNames>
  <calcPr calcId="191029"/>
  <pivotCaches>
    <pivotCache cacheId="3327" r:id="rId7"/>
    <pivotCache cacheId="3330" r:id="rId8"/>
    <pivotCache cacheId="3333" r:id="rId9"/>
    <pivotCache cacheId="3336" r:id="rId10"/>
    <pivotCache cacheId="3339" r:id="rId11"/>
    <pivotCache cacheId="3342" r:id="rId12"/>
    <pivotCache cacheId="3345" r:id="rId13"/>
    <pivotCache cacheId="3348" r:id="rId14"/>
    <pivotCache cacheId="3351" r:id="rId15"/>
    <pivotCache cacheId="3354" r:id="rId16"/>
    <pivotCache cacheId="3357" r:id="rId17"/>
    <pivotCache cacheId="3360" r:id="rId18"/>
    <pivotCache cacheId="3363" r:id="rId19"/>
  </pivotCaches>
  <extLst>
    <ext xmlns:x14="http://schemas.microsoft.com/office/spreadsheetml/2009/9/main" uri="{876F7934-8845-4945-9796-88D515C7AA90}">
      <x14:pivotCaches>
        <pivotCache cacheId="1487"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e08396c-4910-4270-986f-26b629eb3619" name="Hospital Emergency Room Data" connection="Query - Hospital Emergency Room Data"/>
          <x15:modelTable id="Calendar_table_75aaa5f0-f4e0-48b0-a077-c3fbdb674abf"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Lst>
</workbook>
</file>

<file path=xl/calcChain.xml><?xml version="1.0" encoding="utf-8"?>
<calcChain xmlns="http://schemas.openxmlformats.org/spreadsheetml/2006/main">
  <c r="A12" i="1" l="1"/>
  <c r="B12" i="1"/>
  <c r="C12" i="1"/>
  <c r="B11" i="1"/>
  <c r="C11" i="1"/>
  <c r="A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E299DE-98BB-42B9-8CE4-D3AC669CAF02}" name="Query - Calendar_table" description="Connection to the 'Calendar_table' query in the workbook." type="100" refreshedVersion="8" minRefreshableVersion="5">
    <extLst>
      <ext xmlns:x15="http://schemas.microsoft.com/office/spreadsheetml/2010/11/main" uri="{DE250136-89BD-433C-8126-D09CA5730AF9}">
        <x15:connection id="38208542-15e3-4d54-b6cf-2c459647e95b"/>
      </ext>
    </extLst>
  </connection>
  <connection id="2" xr16:uid="{A498BC85-EE38-4BA0-9A01-C87B3FFD031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93c8d61-32da-43ac-b52a-481f7f2619ed"/>
      </ext>
    </extLst>
  </connection>
  <connection id="3" xr16:uid="{426CE7AB-326F-46C8-B949-ED22234B950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<sst xmlns="http://schemas.openxmlformats.org/spreadsheetml/2006/main" count="149" uniqueCount="73">
  <si>
    <t>Distinct Count of Patient Id</t>
  </si>
  <si>
    <t>No of Patient</t>
  </si>
  <si>
    <t>Average of Patient Waittime</t>
  </si>
  <si>
    <t>Male</t>
  </si>
  <si>
    <t>None</t>
  </si>
  <si>
    <t>Admitted</t>
  </si>
  <si>
    <t>60-69</t>
  </si>
  <si>
    <t>Delay</t>
  </si>
  <si>
    <t>70-79</t>
  </si>
  <si>
    <t>10-19</t>
  </si>
  <si>
    <t>Ontime</t>
  </si>
  <si>
    <t>40-49</t>
  </si>
  <si>
    <t>50-59</t>
  </si>
  <si>
    <t>20-29</t>
  </si>
  <si>
    <t>0-9</t>
  </si>
  <si>
    <t>30-39</t>
  </si>
  <si>
    <t>Female</t>
  </si>
  <si>
    <t>Not Admitted</t>
  </si>
  <si>
    <t>Average of Patient Satisfaction Score</t>
  </si>
  <si>
    <t>Grand Total</t>
  </si>
  <si>
    <t>2024</t>
  </si>
  <si>
    <t>Row Labels</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</si>
  <si>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</si>
  <si>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</si>
  <si>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</si>
  <si>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</si>
  <si>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</si>
  <si>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</si>
  <si>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</si>
  <si>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</si>
  <si>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</si>
  <si>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</si>
  <si>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</si>
  <si>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</si>
  <si>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</si>
  <si>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</si>
  <si>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</si>
  <si>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</si>
  <si>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</si>
  <si>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</si>
  <si>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</si>
  <si>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</si>
  <si>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</si>
  <si>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</si>
  <si>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</si>
  <si>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</si>
  <si>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</si>
  <si>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</si>
  <si>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</si>
  <si>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</si>
  <si>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</si>
  <si>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</si>
  <si>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Daily ER Patient Visit</t>
  </si>
  <si>
    <t>Average Wait Time</t>
  </si>
  <si>
    <t>Average satisfaction score</t>
  </si>
  <si>
    <t>Count of Patient Admission Flag</t>
  </si>
  <si>
    <t>Count of Patient Admission Flag2</t>
  </si>
  <si>
    <t>Patient admission data</t>
  </si>
  <si>
    <t>% Status</t>
  </si>
  <si>
    <t>Admission Status</t>
  </si>
  <si>
    <t>Patients</t>
  </si>
  <si>
    <t>Count of Age Group</t>
  </si>
  <si>
    <t>Count of Patient Attend Status</t>
  </si>
  <si>
    <t>Patient attend status</t>
  </si>
  <si>
    <t>Count of Patient Gender</t>
  </si>
  <si>
    <t>Count of Department Referral</t>
  </si>
  <si>
    <t>Cardiology</t>
  </si>
  <si>
    <t>Gastroenterology</t>
  </si>
  <si>
    <t>General Practice</t>
  </si>
  <si>
    <t>Neurology</t>
  </si>
  <si>
    <t>Orthopedics</t>
  </si>
  <si>
    <t>Physiotherapy</t>
  </si>
  <si>
    <t>Renal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</si>
</sst>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sz val="11"/>
      <color rgb="FFFF0000"/>
      <name val="Calibri"/>
      <family val="2"/>
      <scheme val="minor"/>
    </font>
    <font>
      <b/>
      <sz val="12"/>
      <color theme="1"/>
      <name val="Calibri"/>
      <family val="2"/>
      <scheme val="minor"/>
    </font>
  </fonts>
  <fills count="6">
    <fill>
      <patternFill patternType="none"/>
    </fill>
    <fill>
      <patternFill patternType="gray125"/>
    </fill>
    <fill>
      <patternFill patternType="solid">
        <fgColor theme="4" tint="-0.249977111117893"/>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4" tint="0.39997558519241921"/>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3" borderId="0" xfId="0" applyFill="1"/>
    <xf numFmtId="0" fontId="0" fillId="0" borderId="0" xfId="0" applyAlignment="1">
      <alignment horizontal="left"/>
    </xf>
    <xf numFmtId="0" fontId="2" fillId="0" borderId="0" xfId="0" applyFont="1" applyFill="1"/>
    <xf numFmtId="1" fontId="0" fillId="0" borderId="0" xfId="0" applyNumberFormat="1"/>
    <xf numFmtId="1" fontId="0" fillId="0" borderId="0" xfId="0" pivotButton="1" applyNumberFormat="1"/>
    <xf numFmtId="1" fontId="0" fillId="0" borderId="0" xfId="0" applyNumberFormat="1" applyAlignment="1">
      <alignment horizontal="left"/>
    </xf>
    <xf numFmtId="0" fontId="2" fillId="2" borderId="0" xfId="0" applyFont="1" applyFill="1"/>
    <xf numFmtId="0" fontId="0" fillId="4" borderId="0" xfId="0" applyFill="1"/>
    <xf numFmtId="10" fontId="0" fillId="0" borderId="0" xfId="0" applyNumberFormat="1"/>
    <xf numFmtId="1" fontId="0" fillId="0" borderId="1" xfId="0" applyNumberFormat="1" applyBorder="1"/>
    <xf numFmtId="1" fontId="0" fillId="0" borderId="2" xfId="0" applyNumberFormat="1" applyBorder="1"/>
    <xf numFmtId="1" fontId="0" fillId="0" borderId="3" xfId="0" applyNumberFormat="1" applyBorder="1"/>
    <xf numFmtId="1" fontId="0" fillId="0" borderId="4" xfId="0" applyNumberFormat="1" applyBorder="1"/>
    <xf numFmtId="1" fontId="0" fillId="0" borderId="5" xfId="0" applyNumberFormat="1" applyBorder="1"/>
    <xf numFmtId="1" fontId="0" fillId="0" borderId="6" xfId="0" applyNumberFormat="1" applyBorder="1"/>
    <xf numFmtId="1" fontId="0" fillId="0" borderId="7" xfId="0" applyNumberFormat="1" applyBorder="1"/>
    <xf numFmtId="1" fontId="0" fillId="0" borderId="8" xfId="0" applyNumberFormat="1" applyBorder="1"/>
    <xf numFmtId="1" fontId="0" fillId="0" borderId="9" xfId="0" applyNumberFormat="1" applyBorder="1"/>
    <xf numFmtId="0" fontId="0" fillId="5" borderId="0" xfId="0" applyFill="1"/>
    <xf numFmtId="0" fontId="0" fillId="5" borderId="0" xfId="0" applyFill="1" applyBorder="1"/>
    <xf numFmtId="0" fontId="0" fillId="0" borderId="0" xfId="0" applyFill="1"/>
    <xf numFmtId="9" fontId="0" fillId="5" borderId="0" xfId="1" applyFont="1" applyFill="1" applyBorder="1"/>
    <xf numFmtId="0" fontId="3" fillId="5" borderId="0" xfId="0" applyFont="1" applyFill="1" applyBorder="1"/>
  </cellXfs>
  <cellStyles count="2">
    <cellStyle name="Normal" xfId="0" builtinId="0"/>
    <cellStyle name="Percent" xfId="1" builtinId="5"/>
  </cellStyles>
  <dxfs count="1073">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font>
        <b/>
        <color theme="1"/>
      </font>
      <border>
        <bottom style="thin">
          <color theme="8"/>
        </bottom>
        <vertical/>
        <horizontal/>
      </border>
    </dxf>
    <dxf>
      <font>
        <sz val="14"/>
        <color theme="1"/>
      </font>
      <fill>
        <patternFill patternType="solid">
          <fgColor theme="3"/>
          <bgColor theme="4" tint="0.39994506668294322"/>
        </patternFill>
      </fill>
      <border diagonalUp="0" diagonalDown="0">
        <left/>
        <right/>
        <top/>
        <bottom/>
        <vertical/>
        <horizontal/>
      </border>
    </dxf>
  </dxfs>
  <tableStyles count="1" defaultTableStyle="TableStyleMedium2" defaultPivotStyle="PivotStyleLight16">
    <tableStyle name="my style" pivot="0" table="0" count="10" xr9:uid="{8E8045F5-799E-46A9-A2C3-3F116B32275B}">
      <tableStyleElement type="wholeTable" dxfId="1072"/>
      <tableStyleElement type="headerRow" dxfId="1071"/>
    </tableStyle>
  </tableStyles>
  <colors>
    <mruColors>
      <color rgb="FFB4B4C0"/>
      <color rgb="FFEDD8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Dashboard_RV.xlsx]pivot report!PivotTable10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51931610958267"/>
          <c:y val="9.7222021559231708E-2"/>
          <c:w val="0.74662060314749801"/>
          <c:h val="0.89814814814814814"/>
        </c:manualLayout>
      </c:layout>
      <c:barChart>
        <c:barDir val="bar"/>
        <c:grouping val="clustered"/>
        <c:varyColors val="0"/>
        <c:ser>
          <c:idx val="0"/>
          <c:order val="0"/>
          <c:tx>
            <c:strRef>
              <c:f>'pivot report'!$B$4</c:f>
              <c:strCache>
                <c:ptCount val="1"/>
                <c:pt idx="0">
                  <c:v>Count of Patient Admission Flag</c:v>
                </c:pt>
              </c:strCache>
            </c:strRef>
          </c:tx>
          <c:spPr>
            <a:solidFill>
              <a:schemeClr val="accent1"/>
            </a:solidFill>
            <a:ln>
              <a:noFill/>
            </a:ln>
            <a:effectLst/>
          </c:spPr>
          <c:invertIfNegative val="0"/>
          <c:cat>
            <c:strRef>
              <c:f>'pivot report'!$A$5:$A$7</c:f>
              <c:strCache>
                <c:ptCount val="2"/>
                <c:pt idx="0">
                  <c:v>Admitted</c:v>
                </c:pt>
                <c:pt idx="1">
                  <c:v>Not Admitted</c:v>
                </c:pt>
              </c:strCache>
            </c:strRef>
          </c:cat>
          <c:val>
            <c:numRef>
              <c:f>'pivot report'!$B$5:$B$7</c:f>
              <c:numCache>
                <c:formatCode>0.00</c:formatCode>
                <c:ptCount val="2"/>
                <c:pt idx="0">
                  <c:v>217</c:v>
                </c:pt>
                <c:pt idx="1">
                  <c:v>252</c:v>
                </c:pt>
              </c:numCache>
            </c:numRef>
          </c:val>
          <c:extLst>
            <c:ext xmlns:c16="http://schemas.microsoft.com/office/drawing/2014/chart" uri="{C3380CC4-5D6E-409C-BE32-E72D297353CC}">
              <c16:uniqueId val="{00000009-DF02-465D-871A-5532FB5709D0}"/>
            </c:ext>
          </c:extLst>
        </c:ser>
        <c:ser>
          <c:idx val="1"/>
          <c:order val="1"/>
          <c:tx>
            <c:strRef>
              <c:f>'pivot report'!$C$4</c:f>
              <c:strCache>
                <c:ptCount val="1"/>
                <c:pt idx="0">
                  <c:v>Count of Patient Admission Flag2</c:v>
                </c:pt>
              </c:strCache>
            </c:strRef>
          </c:tx>
          <c:spPr>
            <a:solidFill>
              <a:schemeClr val="accent2"/>
            </a:solidFill>
            <a:ln>
              <a:noFill/>
            </a:ln>
            <a:effectLst/>
          </c:spPr>
          <c:invertIfNegative val="0"/>
          <c:cat>
            <c:strRef>
              <c:f>'pivot report'!$A$5:$A$7</c:f>
              <c:strCache>
                <c:ptCount val="2"/>
                <c:pt idx="0">
                  <c:v>Admitted</c:v>
                </c:pt>
                <c:pt idx="1">
                  <c:v>Not Admitted</c:v>
                </c:pt>
              </c:strCache>
            </c:strRef>
          </c:cat>
          <c:val>
            <c:numRef>
              <c:f>'pivot report'!$C$5:$C$7</c:f>
              <c:numCache>
                <c:formatCode>0.00%</c:formatCode>
                <c:ptCount val="2"/>
                <c:pt idx="0">
                  <c:v>0.46268656716417911</c:v>
                </c:pt>
                <c:pt idx="1">
                  <c:v>0.53731343283582089</c:v>
                </c:pt>
              </c:numCache>
            </c:numRef>
          </c:val>
          <c:extLst>
            <c:ext xmlns:c16="http://schemas.microsoft.com/office/drawing/2014/chart" uri="{C3380CC4-5D6E-409C-BE32-E72D297353CC}">
              <c16:uniqueId val="{0000000A-DF02-465D-871A-5532FB5709D0}"/>
            </c:ext>
          </c:extLst>
        </c:ser>
        <c:dLbls>
          <c:showLegendKey val="0"/>
          <c:showVal val="0"/>
          <c:showCatName val="0"/>
          <c:showSerName val="0"/>
          <c:showPercent val="0"/>
          <c:showBubbleSize val="0"/>
        </c:dLbls>
        <c:gapWidth val="72"/>
        <c:axId val="142881463"/>
        <c:axId val="142880743"/>
      </c:barChart>
      <c:catAx>
        <c:axId val="142881463"/>
        <c:scaling>
          <c:orientation val="minMax"/>
        </c:scaling>
        <c:delete val="1"/>
        <c:axPos val="l"/>
        <c:numFmt formatCode="General" sourceLinked="1"/>
        <c:majorTickMark val="none"/>
        <c:minorTickMark val="none"/>
        <c:tickLblPos val="nextTo"/>
        <c:crossAx val="142880743"/>
        <c:crosses val="autoZero"/>
        <c:auto val="1"/>
        <c:lblAlgn val="ctr"/>
        <c:lblOffset val="100"/>
        <c:noMultiLvlLbl val="0"/>
      </c:catAx>
      <c:valAx>
        <c:axId val="142880743"/>
        <c:scaling>
          <c:orientation val="minMax"/>
        </c:scaling>
        <c:delete val="1"/>
        <c:axPos val="b"/>
        <c:numFmt formatCode="0.00" sourceLinked="1"/>
        <c:majorTickMark val="none"/>
        <c:minorTickMark val="none"/>
        <c:tickLblPos val="nextTo"/>
        <c:crossAx val="142881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Dashboard_RV.xlsx]pivot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21768707482991E-2"/>
          <c:y val="0.19298245614035087"/>
          <c:w val="0.85034013605442171"/>
          <c:h val="0.80701754385964908"/>
        </c:manualLayout>
      </c:layout>
      <c:areaChart>
        <c:grouping val="standard"/>
        <c:varyColors val="0"/>
        <c:ser>
          <c:idx val="0"/>
          <c:order val="0"/>
          <c:tx>
            <c:strRef>
              <c:f>'pivot report'!$I$9</c:f>
              <c:strCache>
                <c:ptCount val="1"/>
                <c:pt idx="0">
                  <c:v>Total</c:v>
                </c:pt>
              </c:strCache>
            </c:strRef>
          </c:tx>
          <c:spPr>
            <a:solidFill>
              <a:srgbClr val="0070C0"/>
            </a:solidFill>
            <a:ln w="25400">
              <a:noFill/>
            </a:ln>
            <a:effectLst/>
          </c:spPr>
          <c:cat>
            <c:strRef>
              <c:f>'pivot report'!$H$10:$H$40</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report'!$I$10:$I$40</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5-F04A-4F6E-A84E-88710E404B82}"/>
            </c:ext>
          </c:extLst>
        </c:ser>
        <c:dLbls>
          <c:showLegendKey val="0"/>
          <c:showVal val="0"/>
          <c:showCatName val="0"/>
          <c:showSerName val="0"/>
          <c:showPercent val="0"/>
          <c:showBubbleSize val="0"/>
        </c:dLbls>
        <c:axId val="1124143880"/>
        <c:axId val="1124144240"/>
      </c:areaChart>
      <c:catAx>
        <c:axId val="1124143880"/>
        <c:scaling>
          <c:orientation val="minMax"/>
        </c:scaling>
        <c:delete val="1"/>
        <c:axPos val="b"/>
        <c:numFmt formatCode="General" sourceLinked="1"/>
        <c:majorTickMark val="out"/>
        <c:minorTickMark val="none"/>
        <c:tickLblPos val="nextTo"/>
        <c:crossAx val="1124144240"/>
        <c:crosses val="autoZero"/>
        <c:auto val="1"/>
        <c:lblAlgn val="ctr"/>
        <c:lblOffset val="100"/>
        <c:noMultiLvlLbl val="0"/>
      </c:catAx>
      <c:valAx>
        <c:axId val="1124144240"/>
        <c:scaling>
          <c:orientation val="minMax"/>
        </c:scaling>
        <c:delete val="1"/>
        <c:axPos val="l"/>
        <c:numFmt formatCode="General" sourceLinked="1"/>
        <c:majorTickMark val="none"/>
        <c:minorTickMark val="none"/>
        <c:tickLblPos val="nextTo"/>
        <c:crossAx val="11241438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Dashboard_RV.xlsx]pivot report!PivotTable5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57717785276846E-2"/>
          <c:y val="0"/>
          <c:w val="0.84848484848484851"/>
          <c:h val="0.69444444444444442"/>
        </c:manualLayout>
      </c:layout>
      <c:areaChart>
        <c:grouping val="standard"/>
        <c:varyColors val="0"/>
        <c:ser>
          <c:idx val="0"/>
          <c:order val="0"/>
          <c:tx>
            <c:strRef>
              <c:f>'pivot report'!$N$9</c:f>
              <c:strCache>
                <c:ptCount val="1"/>
                <c:pt idx="0">
                  <c:v>Total</c:v>
                </c:pt>
              </c:strCache>
            </c:strRef>
          </c:tx>
          <c:spPr>
            <a:solidFill>
              <a:srgbClr val="0070C0"/>
            </a:solidFill>
            <a:ln w="25400">
              <a:noFill/>
            </a:ln>
            <a:effectLst/>
          </c:spPr>
          <c:cat>
            <c:strRef>
              <c:f>'pivot report'!$M$10:$M$40</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report'!$N$10:$N$40</c:f>
              <c:numCache>
                <c:formatCode>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5-F411-4B29-B974-BEA62C6CBE3B}"/>
            </c:ext>
          </c:extLst>
        </c:ser>
        <c:dLbls>
          <c:showLegendKey val="0"/>
          <c:showVal val="0"/>
          <c:showCatName val="0"/>
          <c:showSerName val="0"/>
          <c:showPercent val="0"/>
          <c:showBubbleSize val="0"/>
        </c:dLbls>
        <c:axId val="136273111"/>
        <c:axId val="136272031"/>
      </c:areaChart>
      <c:catAx>
        <c:axId val="136273111"/>
        <c:scaling>
          <c:orientation val="minMax"/>
        </c:scaling>
        <c:delete val="1"/>
        <c:axPos val="b"/>
        <c:numFmt formatCode="General" sourceLinked="1"/>
        <c:majorTickMark val="out"/>
        <c:minorTickMark val="none"/>
        <c:tickLblPos val="nextTo"/>
        <c:crossAx val="136272031"/>
        <c:crosses val="autoZero"/>
        <c:auto val="1"/>
        <c:lblAlgn val="ctr"/>
        <c:lblOffset val="100"/>
        <c:noMultiLvlLbl val="0"/>
      </c:catAx>
      <c:valAx>
        <c:axId val="136272031"/>
        <c:scaling>
          <c:orientation val="minMax"/>
        </c:scaling>
        <c:delete val="1"/>
        <c:axPos val="l"/>
        <c:numFmt formatCode="0" sourceLinked="1"/>
        <c:majorTickMark val="none"/>
        <c:minorTickMark val="none"/>
        <c:tickLblPos val="nextTo"/>
        <c:crossAx val="136273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Dashboard_RV.xlsx]pivot report!PivotTable6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89048801338479E-2"/>
          <c:y val="0.37093409619428719"/>
          <c:w val="0.87298719915245448"/>
          <c:h val="0.61903856419877767"/>
        </c:manualLayout>
      </c:layout>
      <c:areaChart>
        <c:grouping val="standard"/>
        <c:varyColors val="0"/>
        <c:ser>
          <c:idx val="0"/>
          <c:order val="0"/>
          <c:tx>
            <c:strRef>
              <c:f>'pivot report'!$S$9</c:f>
              <c:strCache>
                <c:ptCount val="1"/>
                <c:pt idx="0">
                  <c:v>Total</c:v>
                </c:pt>
              </c:strCache>
            </c:strRef>
          </c:tx>
          <c:spPr>
            <a:solidFill>
              <a:srgbClr val="0070C0"/>
            </a:solidFill>
            <a:ln w="25400">
              <a:noFill/>
            </a:ln>
            <a:effectLst/>
          </c:spPr>
          <c:cat>
            <c:strRef>
              <c:f>'pivot report'!$R$10:$R$37</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report'!$S$10:$S$37</c:f>
              <c:numCache>
                <c:formatCode>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6-ACB4-49EB-9037-7CAB77472BC8}"/>
            </c:ext>
          </c:extLst>
        </c:ser>
        <c:dLbls>
          <c:showLegendKey val="0"/>
          <c:showVal val="0"/>
          <c:showCatName val="0"/>
          <c:showSerName val="0"/>
          <c:showPercent val="0"/>
          <c:showBubbleSize val="0"/>
        </c:dLbls>
        <c:axId val="136234223"/>
        <c:axId val="136238903"/>
      </c:areaChart>
      <c:catAx>
        <c:axId val="136234223"/>
        <c:scaling>
          <c:orientation val="minMax"/>
        </c:scaling>
        <c:delete val="1"/>
        <c:axPos val="b"/>
        <c:numFmt formatCode="General" sourceLinked="1"/>
        <c:majorTickMark val="out"/>
        <c:minorTickMark val="none"/>
        <c:tickLblPos val="nextTo"/>
        <c:crossAx val="136238903"/>
        <c:crosses val="autoZero"/>
        <c:auto val="1"/>
        <c:lblAlgn val="ctr"/>
        <c:lblOffset val="100"/>
        <c:noMultiLvlLbl val="0"/>
      </c:catAx>
      <c:valAx>
        <c:axId val="136238903"/>
        <c:scaling>
          <c:orientation val="minMax"/>
        </c:scaling>
        <c:delete val="1"/>
        <c:axPos val="l"/>
        <c:numFmt formatCode="0" sourceLinked="1"/>
        <c:majorTickMark val="none"/>
        <c:minorTickMark val="none"/>
        <c:tickLblPos val="nextTo"/>
        <c:crossAx val="136234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Dashboard_RV.xlsx]pivot report!PivotTable11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report'!$C$17</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report'!$B$18:$B$26</c:f>
              <c:strCache>
                <c:ptCount val="8"/>
                <c:pt idx="0">
                  <c:v>0-9</c:v>
                </c:pt>
                <c:pt idx="1">
                  <c:v>10-19</c:v>
                </c:pt>
                <c:pt idx="2">
                  <c:v>20-29</c:v>
                </c:pt>
                <c:pt idx="3">
                  <c:v>30-39</c:v>
                </c:pt>
                <c:pt idx="4">
                  <c:v>40-49</c:v>
                </c:pt>
                <c:pt idx="5">
                  <c:v>50-59</c:v>
                </c:pt>
                <c:pt idx="6">
                  <c:v>60-69</c:v>
                </c:pt>
                <c:pt idx="7">
                  <c:v>70-79</c:v>
                </c:pt>
              </c:strCache>
            </c:strRef>
          </c:cat>
          <c:val>
            <c:numRef>
              <c:f>'pivot report'!$C$18:$C$26</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5-06F9-493D-A847-7A47C5043C23}"/>
            </c:ext>
          </c:extLst>
        </c:ser>
        <c:dLbls>
          <c:showLegendKey val="0"/>
          <c:showVal val="0"/>
          <c:showCatName val="0"/>
          <c:showSerName val="0"/>
          <c:showPercent val="0"/>
          <c:showBubbleSize val="0"/>
        </c:dLbls>
        <c:gapWidth val="60"/>
        <c:overlap val="-27"/>
        <c:axId val="254106863"/>
        <c:axId val="254107223"/>
      </c:barChart>
      <c:catAx>
        <c:axId val="25410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54107223"/>
        <c:crosses val="autoZero"/>
        <c:auto val="1"/>
        <c:lblAlgn val="ctr"/>
        <c:lblOffset val="100"/>
        <c:noMultiLvlLbl val="0"/>
      </c:catAx>
      <c:valAx>
        <c:axId val="254107223"/>
        <c:scaling>
          <c:orientation val="minMax"/>
        </c:scaling>
        <c:delete val="1"/>
        <c:axPos val="l"/>
        <c:numFmt formatCode="0" sourceLinked="1"/>
        <c:majorTickMark val="none"/>
        <c:minorTickMark val="none"/>
        <c:tickLblPos val="nextTo"/>
        <c:crossAx val="25410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Dashboard_RV.xlsx]pivot report!PivotTable12</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6.9182389937106917E-2"/>
          <c:y val="0.15958543091949576"/>
          <c:w val="0.55140494230673986"/>
          <c:h val="0.59886192504625435"/>
        </c:manualLayout>
      </c:layout>
      <c:pieChart>
        <c:varyColors val="1"/>
        <c:ser>
          <c:idx val="0"/>
          <c:order val="0"/>
          <c:tx>
            <c:strRef>
              <c:f>'pivot report'!$C$30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report'!$B$31:$B$33</c:f>
              <c:strCache>
                <c:ptCount val="2"/>
                <c:pt idx="0">
                  <c:v>Delay</c:v>
                </c:pt>
                <c:pt idx="1">
                  <c:v>Ontime</c:v>
                </c:pt>
              </c:strCache>
            </c:strRef>
          </c:cat>
          <c:val>
            <c:numRef>
              <c:f>'pivot report'!$C$31:$C$33</c:f>
              <c:numCache>
                <c:formatCode>0</c:formatCode>
                <c:ptCount val="2"/>
                <c:pt idx="0">
                  <c:v>268</c:v>
                </c:pt>
                <c:pt idx="1">
                  <c:v>201</c:v>
                </c:pt>
              </c:numCache>
            </c:numRef>
          </c:val>
          <c:extLst>
            <c:ext xmlns:c16="http://schemas.microsoft.com/office/drawing/2014/chart" uri="{C3380CC4-5D6E-409C-BE32-E72D297353CC}">
              <c16:uniqueId val="{00000009-4EC4-44F4-B9B2-DA2AB7BADC8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1.6292774723914233E-4"/>
          <c:y val="3.471236177445033E-3"/>
          <c:w val="0.6591008420327551"/>
          <c:h val="0.205209010570926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Dashboard_RV.xlsx]pivot report!PivotTable13</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s>
    <c:plotArea>
      <c:layout>
        <c:manualLayout>
          <c:layoutTarget val="inner"/>
          <c:xMode val="edge"/>
          <c:yMode val="edge"/>
          <c:x val="0.3488348781125607"/>
          <c:y val="0.20805518779179152"/>
          <c:w val="0.57862248213125411"/>
          <c:h val="0.8900549725137431"/>
        </c:manualLayout>
      </c:layout>
      <c:doughnutChart>
        <c:varyColors val="1"/>
        <c:ser>
          <c:idx val="0"/>
          <c:order val="0"/>
          <c:tx>
            <c:strRef>
              <c:f>'pivot report'!$C$36</c:f>
              <c:strCache>
                <c:ptCount val="1"/>
                <c:pt idx="0">
                  <c:v>Total</c:v>
                </c:pt>
              </c:strCache>
            </c:strRef>
          </c:tx>
          <c:spPr>
            <a:ln>
              <a:noFill/>
            </a:ln>
          </c:spPr>
          <c:dPt>
            <c:idx val="0"/>
            <c:bubble3D val="0"/>
            <c:spPr>
              <a:solidFill>
                <a:schemeClr val="accent1"/>
              </a:solidFill>
              <a:ln w="19050">
                <a:noFill/>
              </a:ln>
              <a:effectLst/>
            </c:spPr>
          </c:dPt>
          <c:dPt>
            <c:idx val="1"/>
            <c:bubble3D val="0"/>
            <c:spPr>
              <a:solidFill>
                <a:schemeClr val="accent2"/>
              </a:solidFill>
              <a:ln w="19050">
                <a:noFill/>
              </a:ln>
              <a:effectLst/>
            </c:spPr>
          </c:dPt>
          <c:cat>
            <c:strRef>
              <c:f>'pivot report'!$B$37:$B$39</c:f>
              <c:strCache>
                <c:ptCount val="2"/>
                <c:pt idx="0">
                  <c:v>Female</c:v>
                </c:pt>
                <c:pt idx="1">
                  <c:v>Male</c:v>
                </c:pt>
              </c:strCache>
            </c:strRef>
          </c:cat>
          <c:val>
            <c:numRef>
              <c:f>'pivot report'!$C$37:$C$39</c:f>
              <c:numCache>
                <c:formatCode>0.00</c:formatCode>
                <c:ptCount val="2"/>
                <c:pt idx="0">
                  <c:v>241</c:v>
                </c:pt>
                <c:pt idx="1">
                  <c:v>228</c:v>
                </c:pt>
              </c:numCache>
            </c:numRef>
          </c:val>
          <c:extLst>
            <c:ext xmlns:c16="http://schemas.microsoft.com/office/drawing/2014/chart" uri="{C3380CC4-5D6E-409C-BE32-E72D297353CC}">
              <c16:uniqueId val="{00000009-3A32-4A62-9F8D-BDC3C40C846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26973637059205235"/>
          <c:y val="1.7325738043806473E-2"/>
          <c:w val="0.6706840611713204"/>
          <c:h val="0.249447422176440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Dashboard_RV.xlsx]pivot report!PivotTable14</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s>
    <c:plotArea>
      <c:layout>
        <c:manualLayout>
          <c:layoutTarget val="inner"/>
          <c:xMode val="edge"/>
          <c:yMode val="edge"/>
          <c:x val="0.26621025247950203"/>
          <c:y val="5.6759545923632609E-2"/>
          <c:w val="0.68644461477713514"/>
          <c:h val="0.82353835027587496"/>
        </c:manualLayout>
      </c:layout>
      <c:barChart>
        <c:barDir val="bar"/>
        <c:grouping val="clustered"/>
        <c:varyColors val="0"/>
        <c:ser>
          <c:idx val="0"/>
          <c:order val="0"/>
          <c:tx>
            <c:strRef>
              <c:f>'pivot report'!$K$79</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report'!$J$80:$J$88</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report'!$K$80:$K$88</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6-BF82-4A2D-B499-C33D400523CC}"/>
            </c:ext>
          </c:extLst>
        </c:ser>
        <c:dLbls>
          <c:dLblPos val="outEnd"/>
          <c:showLegendKey val="0"/>
          <c:showVal val="1"/>
          <c:showCatName val="0"/>
          <c:showSerName val="0"/>
          <c:showPercent val="0"/>
          <c:showBubbleSize val="0"/>
        </c:dLbls>
        <c:gapWidth val="32"/>
        <c:axId val="193876175"/>
        <c:axId val="193876535"/>
      </c:barChart>
      <c:catAx>
        <c:axId val="19387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93876535"/>
        <c:crosses val="autoZero"/>
        <c:auto val="1"/>
        <c:lblAlgn val="ctr"/>
        <c:lblOffset val="100"/>
        <c:noMultiLvlLbl val="0"/>
      </c:catAx>
      <c:valAx>
        <c:axId val="193876535"/>
        <c:scaling>
          <c:orientation val="minMax"/>
        </c:scaling>
        <c:delete val="1"/>
        <c:axPos val="b"/>
        <c:numFmt formatCode="0" sourceLinked="1"/>
        <c:majorTickMark val="none"/>
        <c:minorTickMark val="none"/>
        <c:tickLblPos val="nextTo"/>
        <c:crossAx val="19387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Dashboard_RV.xlsx]pivot report!PivotTable4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report'!$H$10:$H$40</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report'!$I$10:$I$40</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5-7C3E-4087-99E5-F636169DC67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7877231"/>
        <c:axId val="137877951"/>
      </c:areaChart>
      <c:catAx>
        <c:axId val="1378772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7877951"/>
        <c:crosses val="autoZero"/>
        <c:auto val="1"/>
        <c:lblAlgn val="ctr"/>
        <c:lblOffset val="100"/>
        <c:noMultiLvlLbl val="0"/>
      </c:catAx>
      <c:valAx>
        <c:axId val="137877951"/>
        <c:scaling>
          <c:orientation val="minMax"/>
        </c:scaling>
        <c:delete val="1"/>
        <c:axPos val="l"/>
        <c:numFmt formatCode="General" sourceLinked="1"/>
        <c:majorTickMark val="out"/>
        <c:minorTickMark val="none"/>
        <c:tickLblPos val="nextTo"/>
        <c:crossAx val="1378772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Dashboard_RV.xlsx]pivot report!PivotTable5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report'!$M$10:$M$40</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report'!$N$10:$N$40</c:f>
              <c:numCache>
                <c:formatCode>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4-8CDF-4A44-AF79-CC8048CF1F5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6273111"/>
        <c:axId val="136272031"/>
      </c:areaChart>
      <c:catAx>
        <c:axId val="1362731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272031"/>
        <c:crosses val="autoZero"/>
        <c:auto val="1"/>
        <c:lblAlgn val="ctr"/>
        <c:lblOffset val="100"/>
        <c:noMultiLvlLbl val="0"/>
      </c:catAx>
      <c:valAx>
        <c:axId val="136272031"/>
        <c:scaling>
          <c:orientation val="minMax"/>
        </c:scaling>
        <c:delete val="1"/>
        <c:axPos val="l"/>
        <c:numFmt formatCode="0" sourceLinked="1"/>
        <c:majorTickMark val="out"/>
        <c:minorTickMark val="none"/>
        <c:tickLblPos val="nextTo"/>
        <c:crossAx val="136273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Dashboard_RV.xlsx]pivot report!PivotTable6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report'!$S$9</c:f>
              <c:strCache>
                <c:ptCount val="1"/>
                <c:pt idx="0">
                  <c:v>Total</c:v>
                </c:pt>
              </c:strCache>
            </c:strRef>
          </c:tx>
          <c:spPr>
            <a:solidFill>
              <a:schemeClr val="accent1"/>
            </a:solidFill>
            <a:ln w="25400">
              <a:noFill/>
            </a:ln>
            <a:effectLst/>
          </c:spPr>
          <c:cat>
            <c:strRef>
              <c:f>'pivot report'!$R$10:$R$37</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report'!$S$10:$S$37</c:f>
              <c:numCache>
                <c:formatCode>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6-F465-467E-888D-9372011820F9}"/>
            </c:ext>
          </c:extLst>
        </c:ser>
        <c:dLbls>
          <c:showLegendKey val="0"/>
          <c:showVal val="0"/>
          <c:showCatName val="0"/>
          <c:showSerName val="0"/>
          <c:showPercent val="0"/>
          <c:showBubbleSize val="0"/>
        </c:dLbls>
        <c:axId val="136234223"/>
        <c:axId val="136238903"/>
      </c:areaChart>
      <c:catAx>
        <c:axId val="136234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8903"/>
        <c:crosses val="autoZero"/>
        <c:auto val="1"/>
        <c:lblAlgn val="ctr"/>
        <c:lblOffset val="100"/>
        <c:noMultiLvlLbl val="0"/>
      </c:catAx>
      <c:valAx>
        <c:axId val="136238903"/>
        <c:scaling>
          <c:orientation val="minMax"/>
        </c:scaling>
        <c:delete val="1"/>
        <c:axPos val="l"/>
        <c:numFmt formatCode="0" sourceLinked="1"/>
        <c:majorTickMark val="none"/>
        <c:minorTickMark val="none"/>
        <c:tickLblPos val="nextTo"/>
        <c:crossAx val="136234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Average wait time'!A1"/><Relationship Id="rId13"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chart" Target="../charts/chart2.xml"/><Relationship Id="rId12" Type="http://schemas.openxmlformats.org/officeDocument/2006/relationships/chart" Target="../charts/chart5.xml"/><Relationship Id="rId17" Type="http://schemas.openxmlformats.org/officeDocument/2006/relationships/image" Target="../media/image8.svg"/><Relationship Id="rId2" Type="http://schemas.openxmlformats.org/officeDocument/2006/relationships/image" Target="../media/image2.pn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hyperlink" Target="#'daily ER patient data'!A1"/><Relationship Id="rId11" Type="http://schemas.openxmlformats.org/officeDocument/2006/relationships/image" Target="../media/image6.emf"/><Relationship Id="rId5" Type="http://schemas.openxmlformats.org/officeDocument/2006/relationships/image" Target="../media/image5.svg"/><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0</xdr:colOff>
      <xdr:row>9</xdr:row>
      <xdr:rowOff>137160</xdr:rowOff>
    </xdr:from>
    <xdr:to>
      <xdr:col>6</xdr:col>
      <xdr:colOff>396240</xdr:colOff>
      <xdr:row>12</xdr:row>
      <xdr:rowOff>68580</xdr:rowOff>
    </xdr:to>
    <xdr:graphicFrame macro="">
      <xdr:nvGraphicFramePr>
        <xdr:cNvPr id="9" name="Chart 8">
          <a:extLst>
            <a:ext uri="{FF2B5EF4-FFF2-40B4-BE49-F238E27FC236}">
              <a16:creationId xmlns:a16="http://schemas.microsoft.com/office/drawing/2014/main" id="{5160809C-86B1-7E51-1CEC-CA4784579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441960</xdr:colOff>
      <xdr:row>1</xdr:row>
      <xdr:rowOff>91440</xdr:rowOff>
    </xdr:from>
    <xdr:to>
      <xdr:col>8</xdr:col>
      <xdr:colOff>129540</xdr:colOff>
      <xdr:row>5</xdr:row>
      <xdr:rowOff>160020</xdr:rowOff>
    </xdr:to>
    <xdr:sp macro="" textlink="">
      <xdr:nvSpPr>
        <xdr:cNvPr id="2" name="Rectangle: Rounded Corners 1">
          <a:extLst>
            <a:ext uri="{FF2B5EF4-FFF2-40B4-BE49-F238E27FC236}">
              <a16:creationId xmlns:a16="http://schemas.microsoft.com/office/drawing/2014/main" id="{24D77F13-156A-33A2-4307-6398120CF0F1}"/>
            </a:ext>
          </a:extLst>
        </xdr:cNvPr>
        <xdr:cNvSpPr/>
      </xdr:nvSpPr>
      <xdr:spPr>
        <a:xfrm>
          <a:off x="441960" y="274320"/>
          <a:ext cx="4564380" cy="800100"/>
        </a:xfrm>
        <a:prstGeom prst="roundRect">
          <a:avLst>
            <a:gd name="adj" fmla="val 14762"/>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243840</xdr:colOff>
      <xdr:row>1</xdr:row>
      <xdr:rowOff>83820</xdr:rowOff>
    </xdr:from>
    <xdr:to>
      <xdr:col>11</xdr:col>
      <xdr:colOff>152400</xdr:colOff>
      <xdr:row>5</xdr:row>
      <xdr:rowOff>144780</xdr:rowOff>
    </xdr:to>
    <xdr:sp macro="" textlink="">
      <xdr:nvSpPr>
        <xdr:cNvPr id="3" name="Rectangle: Rounded Corners 2">
          <a:extLst>
            <a:ext uri="{FF2B5EF4-FFF2-40B4-BE49-F238E27FC236}">
              <a16:creationId xmlns:a16="http://schemas.microsoft.com/office/drawing/2014/main" id="{76291C11-21B9-4883-B17E-D51341EB9CED}"/>
            </a:ext>
          </a:extLst>
        </xdr:cNvPr>
        <xdr:cNvSpPr/>
      </xdr:nvSpPr>
      <xdr:spPr>
        <a:xfrm>
          <a:off x="5120640" y="266700"/>
          <a:ext cx="1737360" cy="792480"/>
        </a:xfrm>
        <a:prstGeom prst="roundRect">
          <a:avLst>
            <a:gd name="adj" fmla="val 8975"/>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259080</xdr:colOff>
      <xdr:row>1</xdr:row>
      <xdr:rowOff>91440</xdr:rowOff>
    </xdr:from>
    <xdr:to>
      <xdr:col>14</xdr:col>
      <xdr:colOff>160020</xdr:colOff>
      <xdr:row>10</xdr:row>
      <xdr:rowOff>99060</xdr:rowOff>
    </xdr:to>
    <xdr:sp macro="" textlink="">
      <xdr:nvSpPr>
        <xdr:cNvPr id="4" name="Rectangle: Rounded Corners 3">
          <a:extLst>
            <a:ext uri="{FF2B5EF4-FFF2-40B4-BE49-F238E27FC236}">
              <a16:creationId xmlns:a16="http://schemas.microsoft.com/office/drawing/2014/main" id="{58055F08-E91E-CD67-D59C-9535049AA7D1}"/>
            </a:ext>
          </a:extLst>
        </xdr:cNvPr>
        <xdr:cNvSpPr/>
      </xdr:nvSpPr>
      <xdr:spPr>
        <a:xfrm>
          <a:off x="6964680" y="274320"/>
          <a:ext cx="1729740" cy="1653540"/>
        </a:xfrm>
        <a:prstGeom prst="roundRect">
          <a:avLst>
            <a:gd name="adj" fmla="val 4306"/>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228600</xdr:colOff>
      <xdr:row>1</xdr:row>
      <xdr:rowOff>83820</xdr:rowOff>
    </xdr:from>
    <xdr:to>
      <xdr:col>17</xdr:col>
      <xdr:colOff>129540</xdr:colOff>
      <xdr:row>10</xdr:row>
      <xdr:rowOff>99060</xdr:rowOff>
    </xdr:to>
    <xdr:sp macro="" textlink="">
      <xdr:nvSpPr>
        <xdr:cNvPr id="5" name="Rectangle: Rounded Corners 4">
          <a:extLst>
            <a:ext uri="{FF2B5EF4-FFF2-40B4-BE49-F238E27FC236}">
              <a16:creationId xmlns:a16="http://schemas.microsoft.com/office/drawing/2014/main" id="{2FFB8FB6-2A89-CBE4-D418-DB85B498F821}"/>
            </a:ext>
          </a:extLst>
        </xdr:cNvPr>
        <xdr:cNvSpPr/>
      </xdr:nvSpPr>
      <xdr:spPr>
        <a:xfrm>
          <a:off x="8763000" y="266700"/>
          <a:ext cx="1729740" cy="1661160"/>
        </a:xfrm>
        <a:prstGeom prst="roundRect">
          <a:avLst>
            <a:gd name="adj" fmla="val 4730"/>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464820</xdr:colOff>
      <xdr:row>6</xdr:row>
      <xdr:rowOff>45720</xdr:rowOff>
    </xdr:from>
    <xdr:to>
      <xdr:col>2</xdr:col>
      <xdr:colOff>525780</xdr:colOff>
      <xdr:row>26</xdr:row>
      <xdr:rowOff>152400</xdr:rowOff>
    </xdr:to>
    <xdr:sp macro="" textlink="">
      <xdr:nvSpPr>
        <xdr:cNvPr id="8" name="Rectangle: Rounded Corners 7">
          <a:extLst>
            <a:ext uri="{FF2B5EF4-FFF2-40B4-BE49-F238E27FC236}">
              <a16:creationId xmlns:a16="http://schemas.microsoft.com/office/drawing/2014/main" id="{BEA60650-0160-56B2-7329-43F142E9A02C}"/>
            </a:ext>
          </a:extLst>
        </xdr:cNvPr>
        <xdr:cNvSpPr/>
      </xdr:nvSpPr>
      <xdr:spPr>
        <a:xfrm>
          <a:off x="464820" y="1143000"/>
          <a:ext cx="1280160" cy="3764280"/>
        </a:xfrm>
        <a:prstGeom prst="roundRect">
          <a:avLst>
            <a:gd name="adj" fmla="val 6548"/>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15240</xdr:colOff>
      <xdr:row>16</xdr:row>
      <xdr:rowOff>106680</xdr:rowOff>
    </xdr:from>
    <xdr:to>
      <xdr:col>11</xdr:col>
      <xdr:colOff>167640</xdr:colOff>
      <xdr:row>26</xdr:row>
      <xdr:rowOff>137160</xdr:rowOff>
    </xdr:to>
    <xdr:sp macro="" textlink="">
      <xdr:nvSpPr>
        <xdr:cNvPr id="12" name="Rectangle: Rounded Corners 11">
          <a:extLst>
            <a:ext uri="{FF2B5EF4-FFF2-40B4-BE49-F238E27FC236}">
              <a16:creationId xmlns:a16="http://schemas.microsoft.com/office/drawing/2014/main" id="{C42A4E50-88FF-111D-D2E6-C74E35E0C5C4}"/>
            </a:ext>
          </a:extLst>
        </xdr:cNvPr>
        <xdr:cNvSpPr/>
      </xdr:nvSpPr>
      <xdr:spPr>
        <a:xfrm>
          <a:off x="1844040" y="3032760"/>
          <a:ext cx="5029200" cy="1859280"/>
        </a:xfrm>
        <a:prstGeom prst="roundRect">
          <a:avLst>
            <a:gd name="adj" fmla="val 2664"/>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609577</xdr:colOff>
      <xdr:row>6</xdr:row>
      <xdr:rowOff>53340</xdr:rowOff>
    </xdr:from>
    <xdr:to>
      <xdr:col>5</xdr:col>
      <xdr:colOff>373381</xdr:colOff>
      <xdr:row>11</xdr:row>
      <xdr:rowOff>90087</xdr:rowOff>
    </xdr:to>
    <xdr:sp macro="" textlink="">
      <xdr:nvSpPr>
        <xdr:cNvPr id="9" name="Rectangle: Rounded Corners 8">
          <a:extLst>
            <a:ext uri="{FF2B5EF4-FFF2-40B4-BE49-F238E27FC236}">
              <a16:creationId xmlns:a16="http://schemas.microsoft.com/office/drawing/2014/main" id="{26015C8C-60D7-4363-1D58-B072061C8B90}"/>
            </a:ext>
          </a:extLst>
        </xdr:cNvPr>
        <xdr:cNvSpPr/>
      </xdr:nvSpPr>
      <xdr:spPr>
        <a:xfrm>
          <a:off x="1828777" y="1150620"/>
          <a:ext cx="1592604" cy="951147"/>
        </a:xfrm>
        <a:prstGeom prst="roundRect">
          <a:avLst>
            <a:gd name="adj" fmla="val 7053"/>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441961</xdr:colOff>
      <xdr:row>6</xdr:row>
      <xdr:rowOff>39453</xdr:rowOff>
    </xdr:from>
    <xdr:to>
      <xdr:col>8</xdr:col>
      <xdr:colOff>243841</xdr:colOff>
      <xdr:row>11</xdr:row>
      <xdr:rowOff>76200</xdr:rowOff>
    </xdr:to>
    <xdr:sp macro="" textlink="">
      <xdr:nvSpPr>
        <xdr:cNvPr id="13" name="Rectangle: Rounded Corners 12">
          <a:extLst>
            <a:ext uri="{FF2B5EF4-FFF2-40B4-BE49-F238E27FC236}">
              <a16:creationId xmlns:a16="http://schemas.microsoft.com/office/drawing/2014/main" id="{39F686A1-7D9F-CB70-01DA-3C972E68E7D6}"/>
            </a:ext>
          </a:extLst>
        </xdr:cNvPr>
        <xdr:cNvSpPr/>
      </xdr:nvSpPr>
      <xdr:spPr>
        <a:xfrm>
          <a:off x="3489961" y="1136733"/>
          <a:ext cx="1630680" cy="951147"/>
        </a:xfrm>
        <a:prstGeom prst="roundRect">
          <a:avLst>
            <a:gd name="adj" fmla="val 6252"/>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327335</xdr:colOff>
      <xdr:row>6</xdr:row>
      <xdr:rowOff>45720</xdr:rowOff>
    </xdr:from>
    <xdr:to>
      <xdr:col>11</xdr:col>
      <xdr:colOff>152400</xdr:colOff>
      <xdr:row>11</xdr:row>
      <xdr:rowOff>82467</xdr:rowOff>
    </xdr:to>
    <xdr:sp macro="" textlink="">
      <xdr:nvSpPr>
        <xdr:cNvPr id="14" name="Rectangle: Rounded Corners 13">
          <a:extLst>
            <a:ext uri="{FF2B5EF4-FFF2-40B4-BE49-F238E27FC236}">
              <a16:creationId xmlns:a16="http://schemas.microsoft.com/office/drawing/2014/main" id="{5C6DDB54-96BC-8E8E-BBD5-552997294B67}"/>
            </a:ext>
          </a:extLst>
        </xdr:cNvPr>
        <xdr:cNvSpPr/>
      </xdr:nvSpPr>
      <xdr:spPr>
        <a:xfrm>
          <a:off x="5204135" y="1143000"/>
          <a:ext cx="1653865" cy="951147"/>
        </a:xfrm>
        <a:prstGeom prst="roundRect">
          <a:avLst>
            <a:gd name="adj" fmla="val 5451"/>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0</xdr:colOff>
      <xdr:row>11</xdr:row>
      <xdr:rowOff>144780</xdr:rowOff>
    </xdr:from>
    <xdr:to>
      <xdr:col>11</xdr:col>
      <xdr:colOff>160020</xdr:colOff>
      <xdr:row>16</xdr:row>
      <xdr:rowOff>30480</xdr:rowOff>
    </xdr:to>
    <xdr:sp macro="" textlink="">
      <xdr:nvSpPr>
        <xdr:cNvPr id="15" name="Rectangle: Rounded Corners 14">
          <a:extLst>
            <a:ext uri="{FF2B5EF4-FFF2-40B4-BE49-F238E27FC236}">
              <a16:creationId xmlns:a16="http://schemas.microsoft.com/office/drawing/2014/main" id="{A2283028-203D-7708-225D-A2C415F1AFB9}"/>
            </a:ext>
          </a:extLst>
        </xdr:cNvPr>
        <xdr:cNvSpPr/>
      </xdr:nvSpPr>
      <xdr:spPr>
        <a:xfrm>
          <a:off x="1828800" y="2156460"/>
          <a:ext cx="5036820" cy="800100"/>
        </a:xfrm>
        <a:prstGeom prst="roundRect">
          <a:avLst>
            <a:gd name="adj" fmla="val 10137"/>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251460</xdr:colOff>
      <xdr:row>10</xdr:row>
      <xdr:rowOff>144780</xdr:rowOff>
    </xdr:from>
    <xdr:to>
      <xdr:col>17</xdr:col>
      <xdr:colOff>167640</xdr:colOff>
      <xdr:row>26</xdr:row>
      <xdr:rowOff>129540</xdr:rowOff>
    </xdr:to>
    <xdr:sp macro="" textlink="">
      <xdr:nvSpPr>
        <xdr:cNvPr id="16" name="Rectangle: Rounded Corners 15">
          <a:extLst>
            <a:ext uri="{FF2B5EF4-FFF2-40B4-BE49-F238E27FC236}">
              <a16:creationId xmlns:a16="http://schemas.microsoft.com/office/drawing/2014/main" id="{A4CBB3EB-1897-8A6F-4F0F-981631C50AA7}"/>
            </a:ext>
          </a:extLst>
        </xdr:cNvPr>
        <xdr:cNvSpPr/>
      </xdr:nvSpPr>
      <xdr:spPr>
        <a:xfrm>
          <a:off x="6957060" y="1973580"/>
          <a:ext cx="3573780" cy="2910840"/>
        </a:xfrm>
        <a:prstGeom prst="roundRect">
          <a:avLst>
            <a:gd name="adj" fmla="val 4320"/>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594360</xdr:colOff>
      <xdr:row>2</xdr:row>
      <xdr:rowOff>38100</xdr:rowOff>
    </xdr:from>
    <xdr:to>
      <xdr:col>8</xdr:col>
      <xdr:colOff>91440</xdr:colOff>
      <xdr:row>4</xdr:row>
      <xdr:rowOff>45720</xdr:rowOff>
    </xdr:to>
    <xdr:sp macro="" textlink="">
      <xdr:nvSpPr>
        <xdr:cNvPr id="20" name="TextBox 19">
          <a:extLst>
            <a:ext uri="{FF2B5EF4-FFF2-40B4-BE49-F238E27FC236}">
              <a16:creationId xmlns:a16="http://schemas.microsoft.com/office/drawing/2014/main" id="{25304441-22CA-CEC7-7819-D9086C014060}"/>
            </a:ext>
          </a:extLst>
        </xdr:cNvPr>
        <xdr:cNvSpPr txBox="1"/>
      </xdr:nvSpPr>
      <xdr:spPr>
        <a:xfrm>
          <a:off x="1203960" y="403860"/>
          <a:ext cx="37642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tx1"/>
              </a:solidFill>
            </a:rPr>
            <a:t>Hospital Emergency Room Dashboard</a:t>
          </a:r>
        </a:p>
      </xdr:txBody>
    </xdr:sp>
    <xdr:clientData/>
  </xdr:twoCellAnchor>
  <xdr:twoCellAnchor editAs="oneCell">
    <xdr:from>
      <xdr:col>0</xdr:col>
      <xdr:colOff>350520</xdr:colOff>
      <xdr:row>1</xdr:row>
      <xdr:rowOff>99060</xdr:rowOff>
    </xdr:from>
    <xdr:to>
      <xdr:col>2</xdr:col>
      <xdr:colOff>259079</xdr:colOff>
      <xdr:row>5</xdr:row>
      <xdr:rowOff>137160</xdr:rowOff>
    </xdr:to>
    <xdr:pic>
      <xdr:nvPicPr>
        <xdr:cNvPr id="22" name="Picture 21">
          <a:extLst>
            <a:ext uri="{FF2B5EF4-FFF2-40B4-BE49-F238E27FC236}">
              <a16:creationId xmlns:a16="http://schemas.microsoft.com/office/drawing/2014/main" id="{A798678D-065D-A825-2808-750B50B5A8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0520" y="281940"/>
          <a:ext cx="1127759" cy="769620"/>
        </a:xfrm>
        <a:prstGeom prst="rect">
          <a:avLst/>
        </a:prstGeom>
      </xdr:spPr>
    </xdr:pic>
    <xdr:clientData/>
  </xdr:twoCellAnchor>
  <xdr:twoCellAnchor>
    <xdr:from>
      <xdr:col>3</xdr:col>
      <xdr:colOff>289560</xdr:colOff>
      <xdr:row>6</xdr:row>
      <xdr:rowOff>91440</xdr:rowOff>
    </xdr:from>
    <xdr:to>
      <xdr:col>5</xdr:col>
      <xdr:colOff>228600</xdr:colOff>
      <xdr:row>7</xdr:row>
      <xdr:rowOff>160020</xdr:rowOff>
    </xdr:to>
    <xdr:sp macro="" textlink="">
      <xdr:nvSpPr>
        <xdr:cNvPr id="27" name="TextBox 26">
          <a:extLst>
            <a:ext uri="{FF2B5EF4-FFF2-40B4-BE49-F238E27FC236}">
              <a16:creationId xmlns:a16="http://schemas.microsoft.com/office/drawing/2014/main" id="{B7270D2D-39E7-B8FD-FC46-C8105A7E124D}"/>
            </a:ext>
          </a:extLst>
        </xdr:cNvPr>
        <xdr:cNvSpPr txBox="1"/>
      </xdr:nvSpPr>
      <xdr:spPr>
        <a:xfrm>
          <a:off x="2118360" y="1188720"/>
          <a:ext cx="11582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solidFill>
            </a:rPr>
            <a:t>No</a:t>
          </a:r>
          <a:r>
            <a:rPr lang="en-IN" sz="1200" baseline="0">
              <a:solidFill>
                <a:srgbClr val="FFFF00"/>
              </a:solidFill>
            </a:rPr>
            <a:t> </a:t>
          </a:r>
          <a:r>
            <a:rPr lang="en-IN" sz="1200" baseline="0">
              <a:solidFill>
                <a:schemeClr val="tx1"/>
              </a:solidFill>
            </a:rPr>
            <a:t>of</a:t>
          </a:r>
          <a:r>
            <a:rPr lang="en-IN" sz="1200" baseline="0">
              <a:solidFill>
                <a:srgbClr val="FFFF00"/>
              </a:solidFill>
            </a:rPr>
            <a:t> </a:t>
          </a:r>
          <a:r>
            <a:rPr lang="en-IN" sz="1200" baseline="0">
              <a:solidFill>
                <a:schemeClr val="tx1"/>
              </a:solidFill>
            </a:rPr>
            <a:t>Patients</a:t>
          </a:r>
          <a:endParaRPr lang="en-IN" sz="1200">
            <a:solidFill>
              <a:schemeClr val="tx1"/>
            </a:solidFill>
          </a:endParaRPr>
        </a:p>
      </xdr:txBody>
    </xdr:sp>
    <xdr:clientData/>
  </xdr:twoCellAnchor>
  <xdr:twoCellAnchor>
    <xdr:from>
      <xdr:col>9</xdr:col>
      <xdr:colOff>134471</xdr:colOff>
      <xdr:row>6</xdr:row>
      <xdr:rowOff>76200</xdr:rowOff>
    </xdr:from>
    <xdr:to>
      <xdr:col>11</xdr:col>
      <xdr:colOff>259080</xdr:colOff>
      <xdr:row>8</xdr:row>
      <xdr:rowOff>22860</xdr:rowOff>
    </xdr:to>
    <xdr:sp macro="" textlink="">
      <xdr:nvSpPr>
        <xdr:cNvPr id="28" name="TextBox 27">
          <a:extLst>
            <a:ext uri="{FF2B5EF4-FFF2-40B4-BE49-F238E27FC236}">
              <a16:creationId xmlns:a16="http://schemas.microsoft.com/office/drawing/2014/main" id="{B472FAC6-DD0A-5B5C-A85F-5EE539C1AD67}"/>
            </a:ext>
          </a:extLst>
        </xdr:cNvPr>
        <xdr:cNvSpPr txBox="1"/>
      </xdr:nvSpPr>
      <xdr:spPr>
        <a:xfrm>
          <a:off x="5647765" y="1151965"/>
          <a:ext cx="1349786" cy="3052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aseline="0">
              <a:solidFill>
                <a:schemeClr val="tx1"/>
              </a:solidFill>
            </a:rPr>
            <a:t>Satisfaction Score</a:t>
          </a:r>
          <a:endParaRPr lang="en-IN" sz="1200">
            <a:solidFill>
              <a:schemeClr val="tx1"/>
            </a:solidFill>
          </a:endParaRPr>
        </a:p>
      </xdr:txBody>
    </xdr:sp>
    <xdr:clientData/>
  </xdr:twoCellAnchor>
  <xdr:twoCellAnchor>
    <xdr:from>
      <xdr:col>6</xdr:col>
      <xdr:colOff>60960</xdr:colOff>
      <xdr:row>6</xdr:row>
      <xdr:rowOff>53340</xdr:rowOff>
    </xdr:from>
    <xdr:to>
      <xdr:col>8</xdr:col>
      <xdr:colOff>266700</xdr:colOff>
      <xdr:row>8</xdr:row>
      <xdr:rowOff>0</xdr:rowOff>
    </xdr:to>
    <xdr:sp macro="" textlink="">
      <xdr:nvSpPr>
        <xdr:cNvPr id="29" name="TextBox 28">
          <a:extLst>
            <a:ext uri="{FF2B5EF4-FFF2-40B4-BE49-F238E27FC236}">
              <a16:creationId xmlns:a16="http://schemas.microsoft.com/office/drawing/2014/main" id="{4FDB34D2-63FA-8CA2-2521-8DE8D122EC22}"/>
            </a:ext>
          </a:extLst>
        </xdr:cNvPr>
        <xdr:cNvSpPr txBox="1"/>
      </xdr:nvSpPr>
      <xdr:spPr>
        <a:xfrm>
          <a:off x="3718560" y="1150620"/>
          <a:ext cx="14249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1"/>
              </a:solidFill>
            </a:rPr>
            <a:t>Average</a:t>
          </a:r>
          <a:r>
            <a:rPr lang="en-IN" sz="1200" baseline="0">
              <a:solidFill>
                <a:schemeClr val="tx1"/>
              </a:solidFill>
            </a:rPr>
            <a:t> Wait Time</a:t>
          </a:r>
          <a:endParaRPr lang="en-IN" sz="1200">
            <a:solidFill>
              <a:schemeClr val="tx1"/>
            </a:solidFill>
          </a:endParaRPr>
        </a:p>
      </xdr:txBody>
    </xdr:sp>
    <xdr:clientData/>
  </xdr:twoCellAnchor>
  <xdr:twoCellAnchor>
    <xdr:from>
      <xdr:col>3</xdr:col>
      <xdr:colOff>525780</xdr:colOff>
      <xdr:row>7</xdr:row>
      <xdr:rowOff>83820</xdr:rowOff>
    </xdr:from>
    <xdr:to>
      <xdr:col>4</xdr:col>
      <xdr:colOff>579120</xdr:colOff>
      <xdr:row>9</xdr:row>
      <xdr:rowOff>76200</xdr:rowOff>
    </xdr:to>
    <xdr:sp macro="" textlink="'pivot report'!H5">
      <xdr:nvSpPr>
        <xdr:cNvPr id="30" name="TextBox 29">
          <a:extLst>
            <a:ext uri="{FF2B5EF4-FFF2-40B4-BE49-F238E27FC236}">
              <a16:creationId xmlns:a16="http://schemas.microsoft.com/office/drawing/2014/main" id="{20A212C1-0CB9-3A67-5193-2F524942833C}"/>
            </a:ext>
          </a:extLst>
        </xdr:cNvPr>
        <xdr:cNvSpPr txBox="1"/>
      </xdr:nvSpPr>
      <xdr:spPr>
        <a:xfrm>
          <a:off x="2354580" y="1363980"/>
          <a:ext cx="6629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0E0059-DA33-47D2-8C92-03330A638C16}" type="TxLink">
            <a:rPr lang="en-US" sz="1800" b="1" i="0" u="none" strike="noStrike">
              <a:solidFill>
                <a:schemeClr val="tx1"/>
              </a:solidFill>
              <a:latin typeface="Calibri"/>
              <a:ea typeface="Calibri"/>
              <a:cs typeface="Calibri"/>
            </a:rPr>
            <a:t>469</a:t>
          </a:fld>
          <a:endParaRPr lang="en-IN" sz="2000" b="1">
            <a:solidFill>
              <a:schemeClr val="tx1"/>
            </a:solidFill>
          </a:endParaRPr>
        </a:p>
      </xdr:txBody>
    </xdr:sp>
    <xdr:clientData/>
  </xdr:twoCellAnchor>
  <xdr:twoCellAnchor>
    <xdr:from>
      <xdr:col>3</xdr:col>
      <xdr:colOff>45720</xdr:colOff>
      <xdr:row>3</xdr:row>
      <xdr:rowOff>144780</xdr:rowOff>
    </xdr:from>
    <xdr:to>
      <xdr:col>5</xdr:col>
      <xdr:colOff>403860</xdr:colOff>
      <xdr:row>5</xdr:row>
      <xdr:rowOff>30480</xdr:rowOff>
    </xdr:to>
    <xdr:sp macro="" textlink="">
      <xdr:nvSpPr>
        <xdr:cNvPr id="31" name="TextBox 30">
          <a:extLst>
            <a:ext uri="{FF2B5EF4-FFF2-40B4-BE49-F238E27FC236}">
              <a16:creationId xmlns:a16="http://schemas.microsoft.com/office/drawing/2014/main" id="{724C2D52-BBDD-7021-AC43-24EB83A57625}"/>
            </a:ext>
          </a:extLst>
        </xdr:cNvPr>
        <xdr:cNvSpPr txBox="1"/>
      </xdr:nvSpPr>
      <xdr:spPr>
        <a:xfrm>
          <a:off x="1874520" y="693420"/>
          <a:ext cx="15773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solidFill>
            </a:rPr>
            <a:t>Monthly</a:t>
          </a:r>
          <a:r>
            <a:rPr lang="en-IN" sz="1200" baseline="0">
              <a:solidFill>
                <a:schemeClr val="tx1"/>
              </a:solidFill>
            </a:rPr>
            <a:t> Report</a:t>
          </a:r>
          <a:endParaRPr lang="en-IN" sz="1200">
            <a:solidFill>
              <a:schemeClr val="tx1"/>
            </a:solidFill>
          </a:endParaRPr>
        </a:p>
      </xdr:txBody>
    </xdr:sp>
    <xdr:clientData/>
  </xdr:twoCellAnchor>
  <xdr:twoCellAnchor>
    <xdr:from>
      <xdr:col>6</xdr:col>
      <xdr:colOff>167640</xdr:colOff>
      <xdr:row>7</xdr:row>
      <xdr:rowOff>83820</xdr:rowOff>
    </xdr:from>
    <xdr:to>
      <xdr:col>7</xdr:col>
      <xdr:colOff>487680</xdr:colOff>
      <xdr:row>9</xdr:row>
      <xdr:rowOff>76200</xdr:rowOff>
    </xdr:to>
    <xdr:sp macro="" textlink="'pivot report'!M5">
      <xdr:nvSpPr>
        <xdr:cNvPr id="33" name="TextBox 32">
          <a:extLst>
            <a:ext uri="{FF2B5EF4-FFF2-40B4-BE49-F238E27FC236}">
              <a16:creationId xmlns:a16="http://schemas.microsoft.com/office/drawing/2014/main" id="{20955928-DC40-C715-F8D8-6A1206839DB0}"/>
            </a:ext>
          </a:extLst>
        </xdr:cNvPr>
        <xdr:cNvSpPr txBox="1"/>
      </xdr:nvSpPr>
      <xdr:spPr>
        <a:xfrm>
          <a:off x="3825240" y="1363980"/>
          <a:ext cx="9296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F3966F-43CF-4C88-83C8-AE2FE5DA9CFC}" type="TxLink">
            <a:rPr lang="en-US" sz="1800" b="1" i="0" u="none" strike="noStrike">
              <a:solidFill>
                <a:schemeClr val="tx1"/>
              </a:solidFill>
              <a:latin typeface="Calibri"/>
              <a:ea typeface="Calibri"/>
              <a:cs typeface="Calibri"/>
            </a:rPr>
            <a:t>35.04</a:t>
          </a:fld>
          <a:endParaRPr lang="en-IN" sz="4400" b="1">
            <a:solidFill>
              <a:schemeClr val="tx1"/>
            </a:solidFill>
          </a:endParaRPr>
        </a:p>
      </xdr:txBody>
    </xdr:sp>
    <xdr:clientData/>
  </xdr:twoCellAnchor>
  <xdr:twoCellAnchor>
    <xdr:from>
      <xdr:col>9</xdr:col>
      <xdr:colOff>160020</xdr:colOff>
      <xdr:row>7</xdr:row>
      <xdr:rowOff>99060</xdr:rowOff>
    </xdr:from>
    <xdr:to>
      <xdr:col>10</xdr:col>
      <xdr:colOff>251460</xdr:colOff>
      <xdr:row>9</xdr:row>
      <xdr:rowOff>91440</xdr:rowOff>
    </xdr:to>
    <xdr:sp macro="" textlink="'pivot report'!R5">
      <xdr:nvSpPr>
        <xdr:cNvPr id="34" name="TextBox 33">
          <a:extLst>
            <a:ext uri="{FF2B5EF4-FFF2-40B4-BE49-F238E27FC236}">
              <a16:creationId xmlns:a16="http://schemas.microsoft.com/office/drawing/2014/main" id="{B7469C64-F23A-3EF6-C005-FD4279F910B3}"/>
            </a:ext>
          </a:extLst>
        </xdr:cNvPr>
        <xdr:cNvSpPr txBox="1"/>
      </xdr:nvSpPr>
      <xdr:spPr>
        <a:xfrm>
          <a:off x="5646420" y="1379220"/>
          <a:ext cx="7010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18444B-5873-46D4-B766-EE4AE943E3C5}" type="TxLink">
            <a:rPr lang="en-US" sz="1800" b="1" i="0" u="none" strike="noStrike">
              <a:solidFill>
                <a:schemeClr val="tx1"/>
              </a:solidFill>
              <a:latin typeface="Calibri"/>
              <a:ea typeface="Calibri"/>
              <a:cs typeface="Calibri"/>
            </a:rPr>
            <a:t>4.63</a:t>
          </a:fld>
          <a:endParaRPr lang="en-IN" sz="4400" b="1">
            <a:solidFill>
              <a:schemeClr val="tx1"/>
            </a:solidFill>
          </a:endParaRPr>
        </a:p>
      </xdr:txBody>
    </xdr:sp>
    <xdr:clientData/>
  </xdr:twoCellAnchor>
  <xdr:twoCellAnchor editAs="oneCell">
    <xdr:from>
      <xdr:col>3</xdr:col>
      <xdr:colOff>53340</xdr:colOff>
      <xdr:row>6</xdr:row>
      <xdr:rowOff>91440</xdr:rowOff>
    </xdr:from>
    <xdr:to>
      <xdr:col>3</xdr:col>
      <xdr:colOff>309491</xdr:colOff>
      <xdr:row>7</xdr:row>
      <xdr:rowOff>144780</xdr:rowOff>
    </xdr:to>
    <xdr:pic>
      <xdr:nvPicPr>
        <xdr:cNvPr id="36" name="Graphic 35" descr="Users">
          <a:extLst>
            <a:ext uri="{FF2B5EF4-FFF2-40B4-BE49-F238E27FC236}">
              <a16:creationId xmlns:a16="http://schemas.microsoft.com/office/drawing/2014/main" id="{2B2F1349-BB1B-54CF-EE48-F735FF43EF5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82140" y="1188720"/>
          <a:ext cx="256151" cy="236220"/>
        </a:xfrm>
        <a:prstGeom prst="rect">
          <a:avLst/>
        </a:prstGeom>
      </xdr:spPr>
    </xdr:pic>
    <xdr:clientData/>
  </xdr:twoCellAnchor>
  <xdr:twoCellAnchor editAs="oneCell">
    <xdr:from>
      <xdr:col>5</xdr:col>
      <xdr:colOff>464820</xdr:colOff>
      <xdr:row>6</xdr:row>
      <xdr:rowOff>91440</xdr:rowOff>
    </xdr:from>
    <xdr:to>
      <xdr:col>6</xdr:col>
      <xdr:colOff>45720</xdr:colOff>
      <xdr:row>7</xdr:row>
      <xdr:rowOff>99060</xdr:rowOff>
    </xdr:to>
    <xdr:pic>
      <xdr:nvPicPr>
        <xdr:cNvPr id="42" name="Graphic 41" descr="Hourglass">
          <a:extLst>
            <a:ext uri="{FF2B5EF4-FFF2-40B4-BE49-F238E27FC236}">
              <a16:creationId xmlns:a16="http://schemas.microsoft.com/office/drawing/2014/main" id="{D3297A4A-3035-D5F1-D943-468A5AE0CD7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12820" y="1188720"/>
          <a:ext cx="190500" cy="190500"/>
        </a:xfrm>
        <a:prstGeom prst="rect">
          <a:avLst/>
        </a:prstGeom>
      </xdr:spPr>
    </xdr:pic>
    <xdr:clientData/>
  </xdr:twoCellAnchor>
  <xdr:twoCellAnchor editAs="oneCell">
    <xdr:from>
      <xdr:col>0</xdr:col>
      <xdr:colOff>483810</xdr:colOff>
      <xdr:row>6</xdr:row>
      <xdr:rowOff>54429</xdr:rowOff>
    </xdr:from>
    <xdr:to>
      <xdr:col>2</xdr:col>
      <xdr:colOff>465667</xdr:colOff>
      <xdr:row>26</xdr:row>
      <xdr:rowOff>151190</xdr:rowOff>
    </xdr:to>
    <mc:AlternateContent xmlns:mc="http://schemas.openxmlformats.org/markup-compatibility/2006">
      <mc:Choice xmlns:a14="http://schemas.microsoft.com/office/drawing/2010/main" Requires="a14">
        <xdr:graphicFrame macro="">
          <xdr:nvGraphicFramePr>
            <xdr:cNvPr id="43" name="Date (Month)">
              <a:extLst>
                <a:ext uri="{FF2B5EF4-FFF2-40B4-BE49-F238E27FC236}">
                  <a16:creationId xmlns:a16="http://schemas.microsoft.com/office/drawing/2014/main" id="{EAA8D423-0793-4E9F-B212-E37C8910555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483810" y="1143000"/>
              <a:ext cx="1203476" cy="3725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518160</xdr:colOff>
      <xdr:row>7</xdr:row>
      <xdr:rowOff>99060</xdr:rowOff>
    </xdr:from>
    <xdr:to>
      <xdr:col>5</xdr:col>
      <xdr:colOff>556260</xdr:colOff>
      <xdr:row>11</xdr:row>
      <xdr:rowOff>91440</xdr:rowOff>
    </xdr:to>
    <xdr:graphicFrame macro="">
      <xdr:nvGraphicFramePr>
        <xdr:cNvPr id="44" name="Chart 43">
          <a:hlinkClick xmlns:r="http://schemas.openxmlformats.org/officeDocument/2006/relationships" r:id="rId6"/>
          <a:extLst>
            <a:ext uri="{FF2B5EF4-FFF2-40B4-BE49-F238E27FC236}">
              <a16:creationId xmlns:a16="http://schemas.microsoft.com/office/drawing/2014/main" id="{B6DCDC37-9750-4872-9B45-E41FE6B978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304800</xdr:colOff>
      <xdr:row>9</xdr:row>
      <xdr:rowOff>121920</xdr:rowOff>
    </xdr:from>
    <xdr:to>
      <xdr:col>8</xdr:col>
      <xdr:colOff>396240</xdr:colOff>
      <xdr:row>12</xdr:row>
      <xdr:rowOff>30480</xdr:rowOff>
    </xdr:to>
    <xdr:graphicFrame macro="">
      <xdr:nvGraphicFramePr>
        <xdr:cNvPr id="45" name="Chart 44">
          <a:hlinkClick xmlns:r="http://schemas.openxmlformats.org/officeDocument/2006/relationships" r:id="rId8"/>
          <a:extLst>
            <a:ext uri="{FF2B5EF4-FFF2-40B4-BE49-F238E27FC236}">
              <a16:creationId xmlns:a16="http://schemas.microsoft.com/office/drawing/2014/main" id="{31A86CFF-F8A0-48B3-AE7B-C6D7800FE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153743</xdr:colOff>
      <xdr:row>8</xdr:row>
      <xdr:rowOff>76200</xdr:rowOff>
    </xdr:from>
    <xdr:to>
      <xdr:col>11</xdr:col>
      <xdr:colOff>207084</xdr:colOff>
      <xdr:row>11</xdr:row>
      <xdr:rowOff>82774</xdr:rowOff>
    </xdr:to>
    <xdr:graphicFrame macro="">
      <xdr:nvGraphicFramePr>
        <xdr:cNvPr id="46" name="Chart 45">
          <a:extLst>
            <a:ext uri="{FF2B5EF4-FFF2-40B4-BE49-F238E27FC236}">
              <a16:creationId xmlns:a16="http://schemas.microsoft.com/office/drawing/2014/main" id="{BE1E1127-8718-45C0-941F-DCE1C87EB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152400</xdr:colOff>
          <xdr:row>11</xdr:row>
          <xdr:rowOff>152400</xdr:rowOff>
        </xdr:from>
        <xdr:to>
          <xdr:col>11</xdr:col>
          <xdr:colOff>60960</xdr:colOff>
          <xdr:row>15</xdr:row>
          <xdr:rowOff>172330</xdr:rowOff>
        </xdr:to>
        <xdr:pic>
          <xdr:nvPicPr>
            <xdr:cNvPr id="60" name="Picture 59">
              <a:extLst>
                <a:ext uri="{FF2B5EF4-FFF2-40B4-BE49-F238E27FC236}">
                  <a16:creationId xmlns:a16="http://schemas.microsoft.com/office/drawing/2014/main" id="{78247485-1840-95EA-53FC-D0CACFBA5A18}"/>
                </a:ext>
              </a:extLst>
            </xdr:cNvPr>
            <xdr:cNvPicPr>
              <a:picLocks noChangeAspect="1" noChangeArrowheads="1"/>
              <a:extLst>
                <a:ext uri="{84589F7E-364E-4C9E-8A38-B11213B215E9}">
                  <a14:cameraTool cellRange="'pivot report'!$A$10:$F$13" spid="_x0000_s3096"/>
                </a:ext>
              </a:extLst>
            </xdr:cNvPicPr>
          </xdr:nvPicPr>
          <xdr:blipFill>
            <a:blip xmlns:r="http://schemas.openxmlformats.org/officeDocument/2006/relationships" r:embed="rId11"/>
            <a:srcRect/>
            <a:stretch>
              <a:fillRect/>
            </a:stretch>
          </xdr:blipFill>
          <xdr:spPr bwMode="auto">
            <a:xfrm>
              <a:off x="1981200" y="2151185"/>
              <a:ext cx="4785360" cy="7467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45720</xdr:colOff>
      <xdr:row>16</xdr:row>
      <xdr:rowOff>91440</xdr:rowOff>
    </xdr:from>
    <xdr:to>
      <xdr:col>11</xdr:col>
      <xdr:colOff>114300</xdr:colOff>
      <xdr:row>25</xdr:row>
      <xdr:rowOff>76200</xdr:rowOff>
    </xdr:to>
    <xdr:graphicFrame macro="">
      <xdr:nvGraphicFramePr>
        <xdr:cNvPr id="61" name="Chart 60">
          <a:extLst>
            <a:ext uri="{FF2B5EF4-FFF2-40B4-BE49-F238E27FC236}">
              <a16:creationId xmlns:a16="http://schemas.microsoft.com/office/drawing/2014/main" id="{F53C6E53-AC56-4766-BD73-0110EFBAA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396240</xdr:colOff>
      <xdr:row>1</xdr:row>
      <xdr:rowOff>22860</xdr:rowOff>
    </xdr:from>
    <xdr:to>
      <xdr:col>14</xdr:col>
      <xdr:colOff>601980</xdr:colOff>
      <xdr:row>12</xdr:row>
      <xdr:rowOff>0</xdr:rowOff>
    </xdr:to>
    <xdr:graphicFrame macro="">
      <xdr:nvGraphicFramePr>
        <xdr:cNvPr id="63" name="Chart 62">
          <a:extLst>
            <a:ext uri="{FF2B5EF4-FFF2-40B4-BE49-F238E27FC236}">
              <a16:creationId xmlns:a16="http://schemas.microsoft.com/office/drawing/2014/main" id="{20D15B30-051B-4579-91F3-4FF111649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335280</xdr:colOff>
      <xdr:row>8</xdr:row>
      <xdr:rowOff>175260</xdr:rowOff>
    </xdr:from>
    <xdr:to>
      <xdr:col>14</xdr:col>
      <xdr:colOff>121920</xdr:colOff>
      <xdr:row>10</xdr:row>
      <xdr:rowOff>76200</xdr:rowOff>
    </xdr:to>
    <xdr:sp macro="" textlink="">
      <xdr:nvSpPr>
        <xdr:cNvPr id="64" name="TextBox 63">
          <a:extLst>
            <a:ext uri="{FF2B5EF4-FFF2-40B4-BE49-F238E27FC236}">
              <a16:creationId xmlns:a16="http://schemas.microsoft.com/office/drawing/2014/main" id="{78DAC51E-D18C-4808-720A-0A33E1E254EE}"/>
            </a:ext>
          </a:extLst>
        </xdr:cNvPr>
        <xdr:cNvSpPr txBox="1"/>
      </xdr:nvSpPr>
      <xdr:spPr>
        <a:xfrm>
          <a:off x="7040880" y="1638300"/>
          <a:ext cx="1615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Patient</a:t>
          </a:r>
          <a:r>
            <a:rPr lang="en-IN" sz="1100" b="1" baseline="0"/>
            <a:t> Attend Status</a:t>
          </a:r>
          <a:endParaRPr lang="en-IN" sz="1100" b="1"/>
        </a:p>
      </xdr:txBody>
    </xdr:sp>
    <xdr:clientData/>
  </xdr:twoCellAnchor>
  <xdr:twoCellAnchor>
    <xdr:from>
      <xdr:col>13</xdr:col>
      <xdr:colOff>434340</xdr:colOff>
      <xdr:row>1</xdr:row>
      <xdr:rowOff>83820</xdr:rowOff>
    </xdr:from>
    <xdr:to>
      <xdr:col>17</xdr:col>
      <xdr:colOff>60960</xdr:colOff>
      <xdr:row>10</xdr:row>
      <xdr:rowOff>160020</xdr:rowOff>
    </xdr:to>
    <xdr:graphicFrame macro="">
      <xdr:nvGraphicFramePr>
        <xdr:cNvPr id="65" name="Chart 64">
          <a:extLst>
            <a:ext uri="{FF2B5EF4-FFF2-40B4-BE49-F238E27FC236}">
              <a16:creationId xmlns:a16="http://schemas.microsoft.com/office/drawing/2014/main" id="{917F4F40-4049-4CEE-8C5B-48797FF38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229198</xdr:colOff>
      <xdr:row>10</xdr:row>
      <xdr:rowOff>134471</xdr:rowOff>
    </xdr:from>
    <xdr:to>
      <xdr:col>17</xdr:col>
      <xdr:colOff>15838</xdr:colOff>
      <xdr:row>25</xdr:row>
      <xdr:rowOff>73511</xdr:rowOff>
    </xdr:to>
    <xdr:graphicFrame macro="">
      <xdr:nvGraphicFramePr>
        <xdr:cNvPr id="66" name="Chart 65">
          <a:extLst>
            <a:ext uri="{FF2B5EF4-FFF2-40B4-BE49-F238E27FC236}">
              <a16:creationId xmlns:a16="http://schemas.microsoft.com/office/drawing/2014/main" id="{01846A92-C590-47D5-B981-D839E6F9F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53340</xdr:colOff>
      <xdr:row>24</xdr:row>
      <xdr:rowOff>60960</xdr:rowOff>
    </xdr:from>
    <xdr:to>
      <xdr:col>17</xdr:col>
      <xdr:colOff>22860</xdr:colOff>
      <xdr:row>25</xdr:row>
      <xdr:rowOff>152400</xdr:rowOff>
    </xdr:to>
    <xdr:sp macro="" textlink="">
      <xdr:nvSpPr>
        <xdr:cNvPr id="67" name="TextBox 66">
          <a:extLst>
            <a:ext uri="{FF2B5EF4-FFF2-40B4-BE49-F238E27FC236}">
              <a16:creationId xmlns:a16="http://schemas.microsoft.com/office/drawing/2014/main" id="{0AB7B9B4-8338-9308-FC6B-900DA63812D4}"/>
            </a:ext>
          </a:extLst>
        </xdr:cNvPr>
        <xdr:cNvSpPr txBox="1"/>
      </xdr:nvSpPr>
      <xdr:spPr>
        <a:xfrm>
          <a:off x="7368540" y="4450080"/>
          <a:ext cx="3017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No. of Patients by department referral</a:t>
          </a:r>
        </a:p>
      </xdr:txBody>
    </xdr:sp>
    <xdr:clientData/>
  </xdr:twoCellAnchor>
  <xdr:twoCellAnchor>
    <xdr:from>
      <xdr:col>5</xdr:col>
      <xdr:colOff>7620</xdr:colOff>
      <xdr:row>25</xdr:row>
      <xdr:rowOff>45720</xdr:rowOff>
    </xdr:from>
    <xdr:to>
      <xdr:col>8</xdr:col>
      <xdr:colOff>396240</xdr:colOff>
      <xdr:row>26</xdr:row>
      <xdr:rowOff>129540</xdr:rowOff>
    </xdr:to>
    <xdr:sp macro="" textlink="">
      <xdr:nvSpPr>
        <xdr:cNvPr id="68" name="TextBox 67">
          <a:extLst>
            <a:ext uri="{FF2B5EF4-FFF2-40B4-BE49-F238E27FC236}">
              <a16:creationId xmlns:a16="http://schemas.microsoft.com/office/drawing/2014/main" id="{79C17583-C0B1-54EA-53D2-7F7A1C2748A4}"/>
            </a:ext>
          </a:extLst>
        </xdr:cNvPr>
        <xdr:cNvSpPr txBox="1"/>
      </xdr:nvSpPr>
      <xdr:spPr>
        <a:xfrm>
          <a:off x="3055620" y="4617720"/>
          <a:ext cx="2217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a:t>
          </a:r>
          <a:r>
            <a:rPr lang="en-IN" sz="1100" b="1" baseline="0"/>
            <a:t> of Patient by Age Group</a:t>
          </a:r>
          <a:endParaRPr lang="en-IN" sz="1100" b="1"/>
        </a:p>
      </xdr:txBody>
    </xdr:sp>
    <xdr:clientData/>
  </xdr:twoCellAnchor>
  <xdr:twoCellAnchor editAs="oneCell">
    <xdr:from>
      <xdr:col>8</xdr:col>
      <xdr:colOff>327660</xdr:colOff>
      <xdr:row>1</xdr:row>
      <xdr:rowOff>182879</xdr:rowOff>
    </xdr:from>
    <xdr:to>
      <xdr:col>11</xdr:col>
      <xdr:colOff>22860</xdr:colOff>
      <xdr:row>5</xdr:row>
      <xdr:rowOff>99060</xdr:rowOff>
    </xdr:to>
    <mc:AlternateContent xmlns:mc="http://schemas.openxmlformats.org/markup-compatibility/2006">
      <mc:Choice xmlns:a14="http://schemas.microsoft.com/office/drawing/2010/main" Requires="a14">
        <xdr:graphicFrame macro="">
          <xdr:nvGraphicFramePr>
            <xdr:cNvPr id="69" name="Date (Year)">
              <a:extLst>
                <a:ext uri="{FF2B5EF4-FFF2-40B4-BE49-F238E27FC236}">
                  <a16:creationId xmlns:a16="http://schemas.microsoft.com/office/drawing/2014/main" id="{572BCF02-7D1B-4FF9-9F30-2216FCCD779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214136" y="364308"/>
              <a:ext cx="1527629" cy="641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388473</xdr:colOff>
      <xdr:row>6</xdr:row>
      <xdr:rowOff>119530</xdr:rowOff>
    </xdr:from>
    <xdr:to>
      <xdr:col>9</xdr:col>
      <xdr:colOff>112061</xdr:colOff>
      <xdr:row>8</xdr:row>
      <xdr:rowOff>97118</xdr:rowOff>
    </xdr:to>
    <xdr:pic>
      <xdr:nvPicPr>
        <xdr:cNvPr id="71" name="Graphic 70" descr="Chat RTL">
          <a:extLst>
            <a:ext uri="{FF2B5EF4-FFF2-40B4-BE49-F238E27FC236}">
              <a16:creationId xmlns:a16="http://schemas.microsoft.com/office/drawing/2014/main" id="{ABF482AB-8266-4F68-E8AD-A90458AFEBB5}"/>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289179" y="1195295"/>
          <a:ext cx="336176" cy="3361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289560</xdr:colOff>
      <xdr:row>4</xdr:row>
      <xdr:rowOff>129540</xdr:rowOff>
    </xdr:from>
    <xdr:to>
      <xdr:col>15</xdr:col>
      <xdr:colOff>571500</xdr:colOff>
      <xdr:row>22</xdr:row>
      <xdr:rowOff>152400</xdr:rowOff>
    </xdr:to>
    <xdr:graphicFrame macro="">
      <xdr:nvGraphicFramePr>
        <xdr:cNvPr id="3" name="Chart 2">
          <a:extLst>
            <a:ext uri="{FF2B5EF4-FFF2-40B4-BE49-F238E27FC236}">
              <a16:creationId xmlns:a16="http://schemas.microsoft.com/office/drawing/2014/main" id="{552D7B5B-4D4F-4A89-8C02-077789CD0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0.05281</cdr:x>
      <cdr:y>0.126</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AB93A03-C9C6-3D92-C66F-AD580278227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80060" cy="48006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1</xdr:col>
      <xdr:colOff>441960</xdr:colOff>
      <xdr:row>3</xdr:row>
      <xdr:rowOff>152400</xdr:rowOff>
    </xdr:from>
    <xdr:to>
      <xdr:col>15</xdr:col>
      <xdr:colOff>205740</xdr:colOff>
      <xdr:row>23</xdr:row>
      <xdr:rowOff>0</xdr:rowOff>
    </xdr:to>
    <xdr:graphicFrame macro="">
      <xdr:nvGraphicFramePr>
        <xdr:cNvPr id="2" name="Chart 1">
          <a:extLst>
            <a:ext uri="{FF2B5EF4-FFF2-40B4-BE49-F238E27FC236}">
              <a16:creationId xmlns:a16="http://schemas.microsoft.com/office/drawing/2014/main" id="{2C52CA1A-2598-4E89-892D-B38DFC2DF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0.04156</cdr:x>
      <cdr:y>0.09239</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78C0A2C-F2E2-5013-DD63-E2027716961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88620" cy="38862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2</xdr:col>
      <xdr:colOff>274320</xdr:colOff>
      <xdr:row>7</xdr:row>
      <xdr:rowOff>0</xdr:rowOff>
    </xdr:from>
    <xdr:to>
      <xdr:col>13</xdr:col>
      <xdr:colOff>571500</xdr:colOff>
      <xdr:row>22</xdr:row>
      <xdr:rowOff>0</xdr:rowOff>
    </xdr:to>
    <xdr:graphicFrame macro="">
      <xdr:nvGraphicFramePr>
        <xdr:cNvPr id="2" name="Chart 1">
          <a:extLst>
            <a:ext uri="{FF2B5EF4-FFF2-40B4-BE49-F238E27FC236}">
              <a16:creationId xmlns:a16="http://schemas.microsoft.com/office/drawing/2014/main" id="{CD05C465-9975-4366-9D5E-5ED2177F4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8.931057060188" createdVersion="5" refreshedVersion="8" minRefreshableVersion="3" recordCount="0" supportSubquery="1" supportAdvancedDrill="1" xr:uid="{74261451-EEAD-4838-A1DE-1BE72EFE1F33}">
  <cacheSource type="external" connectionId="3"/>
  <cacheFields count="4">
    <cacheField name="[Measures].[Distinct Count of Patient Id]" caption="Distinct Count of Patient Id" numFmtId="0" hierarchy="28"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8.931057291666" createdVersion="5" refreshedVersion="8" minRefreshableVersion="3" recordCount="0" supportSubquery="1" supportAdvancedDrill="1" xr:uid="{520B2C41-9011-4E57-9D99-A9D35B6FFBB1}">
  <cacheSource type="external" connectionId="3"/>
  <cacheFields count="3">
    <cacheField name="[Measures].[Distinct Count of Patient Id]" caption="Distinct Count of Patient Id"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8.931057407404" createdVersion="5" refreshedVersion="8" minRefreshableVersion="3" recordCount="0" supportSubquery="1" supportAdvancedDrill="1" xr:uid="{B57330F8-4959-45A5-9E17-E39F7B2CA775}">
  <cacheSource type="external" connectionId="3"/>
  <cacheFields count="3">
    <cacheField name="[Measures].[Average of Patient Waittime]" caption="Average of Patient Waittime"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8.93105752315" createdVersion="5" refreshedVersion="8" minRefreshableVersion="3" recordCount="0" supportSubquery="1" supportAdvancedDrill="1" xr:uid="{C93977DB-DBD0-4DA6-A74E-E3937418ED51}">
  <cacheSource type="external" connectionId="3"/>
  <cacheFields count="3">
    <cacheField name="[Measures].[Average of Patient Satisfaction Score]" caption="Average of Patient Satisfaction Score" numFmtId="0" hierarchy="32"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8.931057986112" createdVersion="5" refreshedVersion="8" minRefreshableVersion="3" recordCount="0" supportSubquery="1" supportAdvancedDrill="1" xr:uid="{66535D94-930A-40C4-A1C3-701190848DD2}">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30" level="32767"/>
    <cacheField name="[Calendar_table].[Date (Year)].[Date (Year)]" caption="Date (Year)" numFmtId="0" hierarchy="3"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8.931058333335" createdVersion="5" refreshedVersion="8" minRefreshableVersion="3" recordCount="0" supportSubquery="1" supportAdvancedDrill="1" xr:uid="{C7FDC7FA-61E2-4A3C-8EB7-00DC4030EFD7}">
  <cacheSource type="external" connectionId="3"/>
  <cacheFields count="4">
    <cacheField name="[Calendar_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2" level="32767"/>
    <cacheField name="[Calendar_table].[Date (Year)].[Date (Year)]" caption="Date (Year)" numFmtId="0" hierarchy="3"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8.931058449074" createdVersion="5" refreshedVersion="8" minRefreshableVersion="3" recordCount="0" supportSubquery="1" supportAdvancedDrill="1" xr:uid="{8EA380D5-D1CC-45C9-AF1C-4B1030816551}">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8.931058912036" createdVersion="5" refreshedVersion="8" minRefreshableVersion="3" recordCount="0" supportSubquery="1" supportAdvancedDrill="1" xr:uid="{21DFC938-FAFA-4E92-A2BD-49076187000F}">
  <cacheSource type="external" connectionId="3"/>
  <cacheFields count="5">
    <cacheField name="[Measures].[Count of Patient Admission Flag]" caption="Count of Patient Admission Flag" numFmtId="0" hierarchy="33" level="32767"/>
    <cacheField name="[Hospital Emergency Room Data].[Patient Admission Flag].[Patient Admission Flag]" caption="Patient Admission Flag" numFmtId="0" hierarchy="13" level="1">
      <sharedItems count="2">
        <s v="Admitted"/>
        <s v="Not Admitted"/>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 name="Unsupported0" numFmtId="0" hierarchy="40" level="32767">
      <extLst>
        <ext xmlns:x14="http://schemas.microsoft.com/office/spreadsheetml/2009/9/main" uri="{63CAB8AC-B538-458d-9737-405883B0398D}">
          <x14:cacheField ignore="1"/>
        </ext>
      </extLst>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8.931059259259" createdVersion="5" refreshedVersion="8" minRefreshableVersion="3" recordCount="0" supportSubquery="1" supportAdvancedDrill="1" xr:uid="{813A3667-15C9-4EC9-9616-E438A6CEC6C8}">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4" level="32767"/>
    <cacheField name="[Hospital Emergency Room Data].[Age Group].[Age Group]" caption="Age Group" numFmtId="0" hierarchy="16" level="1">
      <sharedItems count="8">
        <s v="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8.931059606482" createdVersion="5" refreshedVersion="8" minRefreshableVersion="3" recordCount="0" supportSubquery="1" supportAdvancedDrill="1" xr:uid="{F3658EA6-A6C4-419C-B234-ABE8D8925506}">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5" level="32767"/>
    <cacheField name="[Calendar_table].[Date (Year)].[Date (Year)]" caption="Date (Year)" numFmtId="0" hierarchy="3"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8.931059953706" createdVersion="5" refreshedVersion="8" minRefreshableVersion="3" recordCount="0" supportSubquery="1" supportAdvancedDrill="1" xr:uid="{B78536EB-AE9A-40E2-8E8B-A436FB6E52C3}">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8"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8.931060416668" createdVersion="5" refreshedVersion="8" minRefreshableVersion="3" recordCount="0" supportSubquery="1" supportAdvancedDrill="1" xr:uid="{D4AF4C34-FA9A-4E92-9314-1DD281508C0C}">
  <cacheSource type="external" connectionId="3"/>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9"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8.931060763891" createdVersion="5" refreshedVersion="8" minRefreshableVersion="3" recordCount="0" supportSubquery="1" supportAdvancedDrill="1" xr:uid="{7AA9A330-A048-4EF7-AB6C-3580A207450B}">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40">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8.836911805556" createdVersion="3" refreshedVersion="8" minRefreshableVersion="3" recordCount="0" supportSubquery="1" supportAdvancedDrill="1" xr:uid="{CFC3261D-DC2E-456A-BD1B-A40AC5EA6891}">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Name]" caption="Name" attribute="1" defaultMemberUniqueName="[Hospital Emergency Room Data].[Name].[All]" allUniqueName="[Hospital Emergency Room Data].[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583929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EF68BD-F0D7-4BDA-A1EA-9A2A6BFFD6A9}" name="PivotTable15" cacheId="3363" applyNumberFormats="0" applyBorderFormats="0" applyFontFormats="0" applyPatternFormats="0" applyAlignmentFormats="0" applyWidthHeightFormats="1" dataCaption="Values" tag="851c96eb-0123-4952-bbea-76cea6e84c92" updatedVersion="8" minRefreshableVersion="3" subtotalHiddenItems="1" itemPrintTitles="1" createdVersion="5" indent="0" outline="1" outlineData="1" multipleFieldFilters="0" chartFormat="17">
  <location ref="B80:B82"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977">
      <pivotArea outline="0" collapsedLevelsAreSubtotals="1" fieldPosition="0"/>
    </format>
  </formats>
  <pivotHierarchies count="40">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7ED26F-0E77-4756-B242-4BA8FBE274DF}" name="PivotTable14" cacheId="3360" applyNumberFormats="0" applyBorderFormats="0" applyFontFormats="0" applyPatternFormats="0" applyAlignmentFormats="0" applyWidthHeightFormats="1" dataCaption="Values" tag="0d6c07b7-df9c-4ab7-a392-b4b11f474c9c" updatedVersion="8" minRefreshableVersion="3" subtotalHiddenItems="1" itemPrintTitles="1" createdVersion="5" indent="0" outline="1" outlineData="1" multipleFieldFilters="0" chartFormat="20">
  <location ref="J79:K8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1"/>
    </i>
    <i>
      <x v="3"/>
    </i>
    <i>
      <x/>
    </i>
    <i>
      <x v="6"/>
    </i>
    <i>
      <x v="5"/>
    </i>
    <i>
      <x v="2"/>
    </i>
    <i>
      <x v="4"/>
    </i>
    <i t="grand">
      <x/>
    </i>
  </rowItems>
  <colItems count="1">
    <i/>
  </colItems>
  <dataFields count="1">
    <dataField name="Count of Department Referral" fld="1" subtotal="count" baseField="0" baseItem="0"/>
  </dataFields>
  <formats count="2">
    <format dxfId="978">
      <pivotArea outline="0" collapsedLevelsAreSubtotals="1" fieldPosition="0"/>
    </format>
    <format dxfId="979">
      <pivotArea collapsedLevelsAreSubtotals="1" fieldPosition="0">
        <references count="1">
          <reference field="2" count="0"/>
        </references>
      </pivotArea>
    </format>
  </formats>
  <chartFormats count="2">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2" count="1" selected="0">
            <x v="4"/>
          </reference>
        </references>
      </pivotArea>
    </chartFormat>
  </chartFormats>
  <pivotHierarchies count="40">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9FFAAC-3EEF-4330-9D2F-EB441C44A52D}" name="PivotTable13" cacheId="3357" applyNumberFormats="0" applyBorderFormats="0" applyFontFormats="0" applyPatternFormats="0" applyAlignmentFormats="0" applyWidthHeightFormats="1" dataCaption="Values" tag="ec5677eb-d800-44b5-8170-99c9a3aa92a5" updatedVersion="8" minRefreshableVersion="3" subtotalHiddenItems="1" itemPrintTitles="1" createdVersion="5" indent="0" outline="1" outlineData="1" multipleFieldFilters="0" chartFormat="17">
  <location ref="B36:C3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970">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s>
  <pivotHierarchies count="40">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E8865E-FDC5-4694-A173-18B58E84C35D}" name="PivotTable12" cacheId="3354" applyNumberFormats="0" applyBorderFormats="0" applyFontFormats="0" applyPatternFormats="0" applyAlignmentFormats="0" applyWidthHeightFormats="1" dataCaption="Values" tag="09be6c2d-bba8-4852-ab8e-1a6976e51ad8" updatedVersion="8" minRefreshableVersion="3" subtotalHiddenItems="1" itemPrintTitles="1" createdVersion="5" indent="0" outline="1" outlineData="1" multipleFieldFilters="0" chartFormat="13">
  <location ref="B30:C3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971">
      <pivotArea outline="0" collapsedLevelsAreSubtotals="1" fieldPosition="0"/>
    </format>
    <format dxfId="972">
      <pivotArea collapsedLevelsAreSubtotals="1" fieldPosition="0">
        <references count="1">
          <reference field="1" count="0"/>
        </references>
      </pivotArea>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95949A-4D3C-4A8E-9F9D-FD96CA11E172}" name="PivotTable11" cacheId="3351" applyNumberFormats="0" applyBorderFormats="0" applyFontFormats="0" applyPatternFormats="0" applyAlignmentFormats="0" applyWidthHeightFormats="1" dataCaption="Values" tag="e4abc743-a60b-498a-8b3e-4aafda1c0315" updatedVersion="8" minRefreshableVersion="3" subtotalHiddenItems="1" itemPrintTitles="1" createdVersion="5" indent="0" outline="1" outlineData="1" multipleFieldFilters="0" chartFormat="5">
  <location ref="B17:C2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2">
    <format dxfId="973">
      <pivotArea outline="0" collapsedLevelsAreSubtotals="1" fieldPosition="0"/>
    </format>
    <format dxfId="974">
      <pivotArea collapsedLevelsAreSubtotals="1" fieldPosition="0">
        <references count="1">
          <reference field="2"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603600-3241-4DD6-9E7A-36837BDB14D7}" name="PivotTable10" cacheId="3348" applyNumberFormats="0" applyBorderFormats="0" applyFontFormats="0" applyPatternFormats="0" applyAlignmentFormats="0" applyWidthHeightFormats="1" dataCaption="Values" tag="9a431311-3461-4466-b581-24aeff55190e" updatedVersion="8" minRefreshableVersion="3" subtotalHiddenItems="1" itemPrintTitles="1" createdVersion="5" indent="0" outline="1" outlineData="1" multipleFieldFilters="0" chartFormat="1">
  <location ref="A4:C7"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2">
    <format dxfId="975">
      <pivotArea outline="0" collapsedLevelsAreSubtotals="1" fieldPosition="0"/>
    </format>
    <format dxfId="976">
      <pivotArea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1">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B46379-3AF3-4A9C-8864-5112DB3E7409}" name="PivotTable9" cacheId="3345" applyNumberFormats="0" applyBorderFormats="0" applyFontFormats="0" applyPatternFormats="0" applyAlignmentFormats="0" applyWidthHeightFormats="1" dataCaption="Values" tag="99673325-172d-4131-b15c-341cadd602c9" updatedVersion="8" minRefreshableVersion="3" subtotalHiddenItems="1" itemPrintTitles="1" createdVersion="5" indent="0" outline="1" outlineData="1" multipleFieldFilters="0" chartFormat="30">
  <location ref="W10:Y27"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formats count="4">
    <format dxfId="952">
      <pivotArea type="all" dataOnly="0" outline="0" fieldPosition="0"/>
    </format>
    <format dxfId="953">
      <pivotArea outline="0" collapsedLevelsAreSubtotals="1" fieldPosition="0"/>
    </format>
    <format dxfId="954">
      <pivotArea dataOnly="0" labelOnly="1" grandRow="1" outline="0" fieldPosition="0"/>
    </format>
    <format dxfId="955">
      <pivotArea dataOnly="0" labelOnly="1" outline="0" axis="axisValues" fieldPosition="0"/>
    </format>
  </formats>
  <pivotHierarchies count="40">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C08210-D78F-4F6A-B3C8-11E8101C63BC}" name="PivotTable6" cacheId="3342" applyNumberFormats="0" applyBorderFormats="0" applyFontFormats="0" applyPatternFormats="0" applyAlignmentFormats="0" applyWidthHeightFormats="1" dataCaption="Values" tag="f4906492-158b-4122-a441-ca2b56d59425" updatedVersion="8" minRefreshableVersion="3" subtotalHiddenItems="1" itemPrintTitles="1" createdVersion="5" indent="0" outline="1" outlineData="1" multipleFieldFilters="0" chartFormat="29">
  <location ref="R9:S37"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6">
    <format dxfId="956">
      <pivotArea type="all" dataOnly="0" outline="0" fieldPosition="0"/>
    </format>
    <format dxfId="957">
      <pivotArea outline="0" collapsedLevelsAreSubtotals="1" fieldPosition="0"/>
    </format>
    <format dxfId="958">
      <pivotArea field="0" type="button" dataOnly="0" labelOnly="1" outline="0" axis="axisRow" fieldPosition="0"/>
    </format>
    <format dxfId="959">
      <pivotArea dataOnly="0" labelOnly="1" fieldPosition="0">
        <references count="1">
          <reference field="0" count="0"/>
        </references>
      </pivotArea>
    </format>
    <format dxfId="960">
      <pivotArea dataOnly="0" labelOnly="1" grandRow="1" outline="0" fieldPosition="0"/>
    </format>
    <format dxfId="961">
      <pivotArea dataOnly="0" labelOnly="1" outline="0" axis="axisValues" fieldPosition="0"/>
    </format>
  </formats>
  <chartFormats count="2">
    <chartFormat chart="25" format="2"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23BD17-6539-4B4B-A37B-57CEF94FE878}" name="PivotTable5" cacheId="3339" applyNumberFormats="0" applyBorderFormats="0" applyFontFormats="0" applyPatternFormats="0" applyAlignmentFormats="0" applyWidthHeightFormats="1" dataCaption="Values" tag="946256cc-6063-47f4-a1c2-d09f6452c4cf" updatedVersion="8" minRefreshableVersion="3" subtotalHiddenItems="1" itemPrintTitles="1" createdVersion="5" indent="0" outline="1" outlineData="1" multipleFieldFilters="0" chartFormat="23">
  <location ref="M9:N40"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5" numFmtId="1"/>
  </dataFields>
  <formats count="6">
    <format dxfId="962">
      <pivotArea type="all" dataOnly="0" outline="0" fieldPosition="0"/>
    </format>
    <format dxfId="963">
      <pivotArea outline="0" collapsedLevelsAreSubtotals="1" fieldPosition="0"/>
    </format>
    <format dxfId="964">
      <pivotArea field="0" type="button" dataOnly="0" labelOnly="1" outline="0" axis="axisRow" fieldPosition="0"/>
    </format>
    <format dxfId="965">
      <pivotArea dataOnly="0" labelOnly="1" fieldPosition="0">
        <references count="1">
          <reference field="0" count="0"/>
        </references>
      </pivotArea>
    </format>
    <format dxfId="966">
      <pivotArea dataOnly="0" labelOnly="1" grandRow="1" outline="0" fieldPosition="0"/>
    </format>
    <format dxfId="967">
      <pivotArea dataOnly="0" labelOnly="1" outline="0" axis="axisValues" fieldPosition="0"/>
    </format>
  </formats>
  <chartFormats count="2">
    <chartFormat chart="19"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4502EC-CFBF-472E-B346-1AF67B69CFFC}" name="PivotTable4" cacheId="3327" applyNumberFormats="0" applyBorderFormats="0" applyFontFormats="0" applyPatternFormats="0" applyAlignmentFormats="0" applyWidthHeightFormats="1" dataCaption="Values" tag="edac4ff0-a44d-4f50-b4dd-007567b349e9" updatedVersion="8" minRefreshableVersion="3" subtotalHiddenItems="1" itemPrintTitles="1" createdVersion="5" indent="0" outline="1" outlineData="1" multipleFieldFilters="0" chartFormat="17">
  <location ref="H9:I40"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D4D6C9-669D-4D01-9D43-DF73F5912BED}" name="PivotTable3" cacheId="3336" applyNumberFormats="0" applyBorderFormats="0" applyFontFormats="0" applyPatternFormats="0" applyAlignmentFormats="0" applyWidthHeightFormats="1" dataCaption="Values" tag="dab5a19a-41dc-46c5-8861-0ba17b050762" updatedVersion="8" minRefreshableVersion="3" subtotalHiddenItems="1" itemPrintTitles="1" createdVersion="5" indent="0" outline="1" outlineData="1" multipleFieldFilters="0">
  <location ref="R4:R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968">
      <pivotArea outline="0" collapsedLevelsAreSubtotals="1" fieldPosition="0"/>
    </format>
  </formats>
  <pivotHierarchies count="40">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36A993-858C-4B20-B589-513A0CF513A0}" name="PivotTable2" cacheId="3333" applyNumberFormats="0" applyBorderFormats="0" applyFontFormats="0" applyPatternFormats="0" applyAlignmentFormats="0" applyWidthHeightFormats="1" dataCaption="Values" tag="2772b47c-b705-4830-83ad-8db8a07c2e47" updatedVersion="8" minRefreshableVersion="3" subtotalHiddenItems="1" itemPrintTitles="1" createdVersion="5" indent="0" outline="1" outlineData="1" multipleFieldFilters="0">
  <location ref="M4:M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69">
      <pivotArea outline="0" collapsedLevelsAreSubtotals="1" fieldPosition="0"/>
    </format>
  </formats>
  <pivotHierarchies count="40">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CA7E6E-A792-48C9-9E3A-5FD062655E8E}" name="PivotTable1" cacheId="3330" applyNumberFormats="0" applyBorderFormats="0" applyFontFormats="0" applyPatternFormats="0" applyAlignmentFormats="0" applyWidthHeightFormats="1" dataCaption="Values" tag="3502df83-6f2c-461b-9bc3-e24abe4dc5af" updatedVersion="8" minRefreshableVersion="3" subtotalHiddenItems="1" itemPrintTitles="1" createdVersion="5" indent="0" outline="1" outlineData="1" multipleFieldFilters="0">
  <location ref="H4:H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0">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CA0F4A2-BAA2-43EF-8494-14A8187B78B5}"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9"/>
    <pivotTable tabId="1" name="PivotTable10"/>
    <pivotTable tabId="1" name="PivotTable11"/>
    <pivotTable tabId="1" name="PivotTable12"/>
    <pivotTable tabId="1" name="PivotTable13"/>
    <pivotTable tabId="1" name="PivotTable14"/>
    <pivotTable tabId="1" name="PivotTable15"/>
  </pivotTables>
  <data>
    <olap pivotCacheId="1458392901">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9CCC323-515E-4D47-BBFF-406E89CFC6C8}" sourceName="[Calendar_table].[Date (Year)]">
  <pivotTables>
    <pivotTable tabId="1" name="PivotTable15"/>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9"/>
  </pivotTables>
  <data>
    <olap pivotCacheId="1458392901">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BEBDA6C-1509-4B71-89DD-9B6BF247FC09}" cache="Slicer_Date__Month" caption="Date (Month)" showCaption="0" level="1" style="my style" rowHeight="270000"/>
  <slicer name="Date (Year)" xr10:uid="{2B1E779B-3D88-4FC7-98DC-5A261537C7B5}" cache="Slicer_Date__Year" caption="Date (Year)" columnCount="2" showCaption="0" level="1" style="my style"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FAA86-F3C9-492A-88EC-A07153223894}">
  <dimension ref="A3:Y392"/>
  <sheetViews>
    <sheetView workbookViewId="0">
      <selection activeCell="C11" sqref="C11"/>
    </sheetView>
  </sheetViews>
  <sheetFormatPr defaultRowHeight="14.4" x14ac:dyDescent="0.3"/>
  <cols>
    <col min="1" max="1" width="17.21875" bestFit="1" customWidth="1"/>
    <col min="2" max="2" width="12" customWidth="1"/>
    <col min="3" max="3" width="9.77734375" customWidth="1"/>
    <col min="4" max="5" width="6.77734375" customWidth="1"/>
    <col min="6" max="6" width="17.21875" bestFit="1" customWidth="1"/>
    <col min="7" max="7" width="15" customWidth="1"/>
    <col min="8" max="8" width="10.109375" customWidth="1"/>
    <col min="13" max="13" width="25" bestFit="1" customWidth="1"/>
    <col min="18" max="18" width="32.44140625" bestFit="1" customWidth="1"/>
    <col min="19" max="19" width="6.6640625" customWidth="1"/>
  </cols>
  <sheetData>
    <row r="3" spans="1:25" x14ac:dyDescent="0.3">
      <c r="H3" t="s">
        <v>1</v>
      </c>
    </row>
    <row r="4" spans="1:25" x14ac:dyDescent="0.3">
      <c r="A4" s="2" t="s">
        <v>21</v>
      </c>
      <c r="B4" t="s">
        <v>55</v>
      </c>
      <c r="C4" t="s">
        <v>56</v>
      </c>
      <c r="H4" t="s">
        <v>0</v>
      </c>
      <c r="M4" t="s">
        <v>2</v>
      </c>
      <c r="R4" t="s">
        <v>18</v>
      </c>
    </row>
    <row r="5" spans="1:25" x14ac:dyDescent="0.3">
      <c r="A5" s="6" t="s">
        <v>5</v>
      </c>
      <c r="B5" s="3">
        <v>217</v>
      </c>
      <c r="C5" s="13">
        <v>0.46268656716417911</v>
      </c>
      <c r="H5" s="1">
        <v>469</v>
      </c>
      <c r="M5" s="3">
        <v>35.044776119402982</v>
      </c>
      <c r="R5" s="3">
        <v>4.6269841269841274</v>
      </c>
    </row>
    <row r="6" spans="1:25" x14ac:dyDescent="0.3">
      <c r="A6" s="6" t="s">
        <v>17</v>
      </c>
      <c r="B6" s="3">
        <v>252</v>
      </c>
      <c r="C6" s="13">
        <v>0.53731343283582089</v>
      </c>
      <c r="H6" s="1"/>
      <c r="N6" s="3"/>
    </row>
    <row r="7" spans="1:25" x14ac:dyDescent="0.3">
      <c r="A7" s="6" t="s">
        <v>19</v>
      </c>
      <c r="B7" s="3">
        <v>469</v>
      </c>
      <c r="C7" s="13">
        <v>1</v>
      </c>
      <c r="W7" s="8" t="s">
        <v>57</v>
      </c>
      <c r="X7" s="8"/>
    </row>
    <row r="8" spans="1:25" x14ac:dyDescent="0.3">
      <c r="H8" t="s">
        <v>52</v>
      </c>
      <c r="M8" s="8" t="s">
        <v>53</v>
      </c>
      <c r="N8" s="8"/>
      <c r="R8" s="8" t="s">
        <v>54</v>
      </c>
      <c r="S8" s="8"/>
    </row>
    <row r="9" spans="1:25" x14ac:dyDescent="0.3">
      <c r="H9" s="2" t="s">
        <v>21</v>
      </c>
      <c r="I9" t="s">
        <v>0</v>
      </c>
      <c r="M9" s="9" t="s">
        <v>21</v>
      </c>
      <c r="N9" s="8" t="s">
        <v>2</v>
      </c>
      <c r="R9" s="9" t="s">
        <v>21</v>
      </c>
      <c r="S9" s="8" t="s">
        <v>18</v>
      </c>
    </row>
    <row r="10" spans="1:25" ht="15.6" x14ac:dyDescent="0.3">
      <c r="A10" s="27" t="s">
        <v>59</v>
      </c>
      <c r="B10" s="27" t="s">
        <v>60</v>
      </c>
      <c r="C10" s="27" t="s">
        <v>58</v>
      </c>
      <c r="D10" s="24"/>
      <c r="E10" s="24"/>
      <c r="F10" s="23"/>
      <c r="H10" s="6" t="s">
        <v>22</v>
      </c>
      <c r="I10" s="1">
        <v>12</v>
      </c>
      <c r="M10" s="10" t="s">
        <v>22</v>
      </c>
      <c r="N10" s="8">
        <v>31.833333333333332</v>
      </c>
      <c r="R10" s="10" t="s">
        <v>23</v>
      </c>
      <c r="S10" s="8">
        <v>4.5999999999999996</v>
      </c>
      <c r="W10" s="14"/>
      <c r="X10" s="15"/>
      <c r="Y10" s="16"/>
    </row>
    <row r="11" spans="1:25" x14ac:dyDescent="0.3">
      <c r="A11" s="24" t="str">
        <f>A5</f>
        <v>Admitted</v>
      </c>
      <c r="B11" s="24">
        <f>B5</f>
        <v>217</v>
      </c>
      <c r="C11" s="26">
        <f>C5</f>
        <v>0.46268656716417911</v>
      </c>
      <c r="D11" s="24"/>
      <c r="E11" s="24"/>
      <c r="F11" s="23"/>
      <c r="H11" s="6" t="s">
        <v>23</v>
      </c>
      <c r="I11" s="1">
        <v>19</v>
      </c>
      <c r="M11" s="10" t="s">
        <v>23</v>
      </c>
      <c r="N11" s="8">
        <v>39.368421052631582</v>
      </c>
      <c r="R11" s="10" t="s">
        <v>24</v>
      </c>
      <c r="S11" s="8">
        <v>4.5999999999999996</v>
      </c>
      <c r="W11" s="17"/>
      <c r="X11" s="18"/>
      <c r="Y11" s="19"/>
    </row>
    <row r="12" spans="1:25" x14ac:dyDescent="0.3">
      <c r="A12" s="24" t="str">
        <f>A6</f>
        <v>Not Admitted</v>
      </c>
      <c r="B12" s="24">
        <f>B6</f>
        <v>252</v>
      </c>
      <c r="C12" s="26">
        <f>C6</f>
        <v>0.53731343283582089</v>
      </c>
      <c r="D12" s="24"/>
      <c r="E12" s="24"/>
      <c r="F12" s="23"/>
      <c r="H12" s="6" t="s">
        <v>24</v>
      </c>
      <c r="I12" s="1">
        <v>17</v>
      </c>
      <c r="M12" s="10" t="s">
        <v>24</v>
      </c>
      <c r="N12" s="8">
        <v>32.352941176470587</v>
      </c>
      <c r="R12" s="10" t="s">
        <v>25</v>
      </c>
      <c r="S12" s="8">
        <v>5.666666666666667</v>
      </c>
      <c r="W12" s="17"/>
      <c r="X12" s="18"/>
      <c r="Y12" s="19"/>
    </row>
    <row r="13" spans="1:25" x14ac:dyDescent="0.3">
      <c r="A13" s="23"/>
      <c r="B13" s="23"/>
      <c r="C13" s="23"/>
      <c r="D13" s="23"/>
      <c r="E13" s="23"/>
      <c r="F13" s="23"/>
      <c r="H13" s="6" t="s">
        <v>25</v>
      </c>
      <c r="I13" s="1">
        <v>20</v>
      </c>
      <c r="M13" s="10" t="s">
        <v>25</v>
      </c>
      <c r="N13" s="8">
        <v>34.049999999999997</v>
      </c>
      <c r="R13" s="10" t="s">
        <v>26</v>
      </c>
      <c r="S13" s="8">
        <v>3.4</v>
      </c>
      <c r="W13" s="17"/>
      <c r="X13" s="18"/>
      <c r="Y13" s="19"/>
    </row>
    <row r="14" spans="1:25" x14ac:dyDescent="0.3">
      <c r="H14" s="6" t="s">
        <v>26</v>
      </c>
      <c r="I14" s="1">
        <v>15</v>
      </c>
      <c r="M14" s="10" t="s">
        <v>26</v>
      </c>
      <c r="N14" s="8">
        <v>31.8</v>
      </c>
      <c r="R14" s="10" t="s">
        <v>27</v>
      </c>
      <c r="S14" s="8">
        <v>4.333333333333333</v>
      </c>
      <c r="W14" s="17"/>
      <c r="X14" s="18"/>
      <c r="Y14" s="19"/>
    </row>
    <row r="15" spans="1:25" x14ac:dyDescent="0.3">
      <c r="H15" s="6" t="s">
        <v>27</v>
      </c>
      <c r="I15" s="1">
        <v>17</v>
      </c>
      <c r="M15" s="10" t="s">
        <v>27</v>
      </c>
      <c r="N15" s="8">
        <v>37.823529411764703</v>
      </c>
      <c r="R15" s="10" t="s">
        <v>28</v>
      </c>
      <c r="S15" s="8">
        <v>4.4000000000000004</v>
      </c>
      <c r="W15" s="17"/>
      <c r="X15" s="18"/>
      <c r="Y15" s="19"/>
    </row>
    <row r="16" spans="1:25" x14ac:dyDescent="0.3">
      <c r="H16" s="6" t="s">
        <v>28</v>
      </c>
      <c r="I16" s="1">
        <v>16</v>
      </c>
      <c r="M16" s="10" t="s">
        <v>28</v>
      </c>
      <c r="N16" s="8">
        <v>31.875</v>
      </c>
      <c r="R16" s="10" t="s">
        <v>29</v>
      </c>
      <c r="S16" s="8">
        <v>4.25</v>
      </c>
      <c r="W16" s="17"/>
      <c r="X16" s="18"/>
      <c r="Y16" s="19"/>
    </row>
    <row r="17" spans="2:25" x14ac:dyDescent="0.3">
      <c r="B17" s="2" t="s">
        <v>21</v>
      </c>
      <c r="C17" t="s">
        <v>61</v>
      </c>
      <c r="H17" s="6" t="s">
        <v>29</v>
      </c>
      <c r="I17" s="1">
        <v>10</v>
      </c>
      <c r="M17" s="10" t="s">
        <v>29</v>
      </c>
      <c r="N17" s="8">
        <v>27.3</v>
      </c>
      <c r="R17" s="10" t="s">
        <v>30</v>
      </c>
      <c r="S17" s="8">
        <v>4.5999999999999996</v>
      </c>
      <c r="W17" s="17"/>
      <c r="X17" s="18"/>
      <c r="Y17" s="19"/>
    </row>
    <row r="18" spans="2:25" x14ac:dyDescent="0.3">
      <c r="B18" s="6" t="s">
        <v>14</v>
      </c>
      <c r="C18" s="8">
        <v>59</v>
      </c>
      <c r="H18" s="6" t="s">
        <v>30</v>
      </c>
      <c r="I18" s="1">
        <v>15</v>
      </c>
      <c r="M18" s="10" t="s">
        <v>30</v>
      </c>
      <c r="N18" s="8">
        <v>31.933333333333334</v>
      </c>
      <c r="R18" s="10" t="s">
        <v>32</v>
      </c>
      <c r="S18" s="8">
        <v>2.3333333333333335</v>
      </c>
      <c r="W18" s="17"/>
      <c r="X18" s="18"/>
      <c r="Y18" s="19"/>
    </row>
    <row r="19" spans="2:25" x14ac:dyDescent="0.3">
      <c r="B19" s="6" t="s">
        <v>9</v>
      </c>
      <c r="C19" s="8">
        <v>57</v>
      </c>
      <c r="H19" s="6" t="s">
        <v>31</v>
      </c>
      <c r="I19" s="1">
        <v>14</v>
      </c>
      <c r="M19" s="10" t="s">
        <v>31</v>
      </c>
      <c r="N19" s="8">
        <v>30.5</v>
      </c>
      <c r="R19" s="10" t="s">
        <v>33</v>
      </c>
      <c r="S19" s="8">
        <v>9</v>
      </c>
      <c r="W19" s="17"/>
      <c r="X19" s="18"/>
      <c r="Y19" s="19"/>
    </row>
    <row r="20" spans="2:25" x14ac:dyDescent="0.3">
      <c r="B20" s="6" t="s">
        <v>13</v>
      </c>
      <c r="C20" s="8">
        <v>69</v>
      </c>
      <c r="H20" s="6" t="s">
        <v>32</v>
      </c>
      <c r="I20" s="1">
        <v>16</v>
      </c>
      <c r="M20" s="10" t="s">
        <v>32</v>
      </c>
      <c r="N20" s="8">
        <v>38.0625</v>
      </c>
      <c r="R20" s="10" t="s">
        <v>34</v>
      </c>
      <c r="S20" s="8">
        <v>2.75</v>
      </c>
      <c r="W20" s="17"/>
      <c r="X20" s="18"/>
      <c r="Y20" s="19"/>
    </row>
    <row r="21" spans="2:25" x14ac:dyDescent="0.3">
      <c r="B21" s="6" t="s">
        <v>15</v>
      </c>
      <c r="C21" s="8">
        <v>62</v>
      </c>
      <c r="H21" s="6" t="s">
        <v>33</v>
      </c>
      <c r="I21" s="1">
        <v>12</v>
      </c>
      <c r="M21" s="10" t="s">
        <v>33</v>
      </c>
      <c r="N21" s="8">
        <v>36.333333333333336</v>
      </c>
      <c r="R21" s="10" t="s">
        <v>35</v>
      </c>
      <c r="S21" s="8">
        <v>6.8888888888888893</v>
      </c>
      <c r="W21" s="17"/>
      <c r="X21" s="18"/>
      <c r="Y21" s="19"/>
    </row>
    <row r="22" spans="2:25" x14ac:dyDescent="0.3">
      <c r="B22" s="6" t="s">
        <v>11</v>
      </c>
      <c r="C22" s="8">
        <v>54</v>
      </c>
      <c r="H22" s="6" t="s">
        <v>34</v>
      </c>
      <c r="I22" s="1">
        <v>12</v>
      </c>
      <c r="M22" s="10" t="s">
        <v>34</v>
      </c>
      <c r="N22" s="8">
        <v>27</v>
      </c>
      <c r="R22" s="10" t="s">
        <v>36</v>
      </c>
      <c r="S22" s="8">
        <v>5</v>
      </c>
      <c r="W22" s="17"/>
      <c r="X22" s="18"/>
      <c r="Y22" s="19"/>
    </row>
    <row r="23" spans="2:25" x14ac:dyDescent="0.3">
      <c r="B23" s="6" t="s">
        <v>12</v>
      </c>
      <c r="C23" s="8">
        <v>57</v>
      </c>
      <c r="H23" s="6" t="s">
        <v>35</v>
      </c>
      <c r="I23" s="1">
        <v>13</v>
      </c>
      <c r="M23" s="10" t="s">
        <v>35</v>
      </c>
      <c r="N23" s="8">
        <v>37.46153846153846</v>
      </c>
      <c r="R23" s="10" t="s">
        <v>37</v>
      </c>
      <c r="S23" s="8">
        <v>4.166666666666667</v>
      </c>
      <c r="W23" s="17"/>
      <c r="X23" s="18"/>
      <c r="Y23" s="19"/>
    </row>
    <row r="24" spans="2:25" x14ac:dyDescent="0.3">
      <c r="B24" s="6" t="s">
        <v>6</v>
      </c>
      <c r="C24" s="8">
        <v>54</v>
      </c>
      <c r="H24" s="6" t="s">
        <v>36</v>
      </c>
      <c r="I24" s="1">
        <v>20</v>
      </c>
      <c r="M24" s="10" t="s">
        <v>36</v>
      </c>
      <c r="N24" s="8">
        <v>39.25</v>
      </c>
      <c r="R24" s="10" t="s">
        <v>38</v>
      </c>
      <c r="S24" s="8">
        <v>2.5</v>
      </c>
      <c r="W24" s="17"/>
      <c r="X24" s="18"/>
      <c r="Y24" s="19"/>
    </row>
    <row r="25" spans="2:25" x14ac:dyDescent="0.3">
      <c r="B25" s="6" t="s">
        <v>8</v>
      </c>
      <c r="C25" s="8">
        <v>57</v>
      </c>
      <c r="H25" s="6" t="s">
        <v>37</v>
      </c>
      <c r="I25" s="1">
        <v>17</v>
      </c>
      <c r="M25" s="10" t="s">
        <v>37</v>
      </c>
      <c r="N25" s="8">
        <v>33.647058823529413</v>
      </c>
      <c r="R25" s="10" t="s">
        <v>39</v>
      </c>
      <c r="S25" s="8">
        <v>6</v>
      </c>
      <c r="W25" s="17"/>
      <c r="X25" s="18"/>
      <c r="Y25" s="19"/>
    </row>
    <row r="26" spans="2:25" x14ac:dyDescent="0.3">
      <c r="B26" s="6" t="s">
        <v>19</v>
      </c>
      <c r="C26" s="3">
        <v>469</v>
      </c>
      <c r="H26" s="6" t="s">
        <v>38</v>
      </c>
      <c r="I26" s="1">
        <v>10</v>
      </c>
      <c r="M26" s="10" t="s">
        <v>38</v>
      </c>
      <c r="N26" s="8">
        <v>42.2</v>
      </c>
      <c r="R26" s="10" t="s">
        <v>40</v>
      </c>
      <c r="S26" s="8">
        <v>3.8</v>
      </c>
      <c r="W26" s="17"/>
      <c r="X26" s="18"/>
      <c r="Y26" s="19"/>
    </row>
    <row r="27" spans="2:25" x14ac:dyDescent="0.3">
      <c r="H27" s="6" t="s">
        <v>39</v>
      </c>
      <c r="I27" s="1">
        <v>16</v>
      </c>
      <c r="M27" s="10" t="s">
        <v>39</v>
      </c>
      <c r="N27" s="8">
        <v>33.3125</v>
      </c>
      <c r="R27" s="10" t="s">
        <v>41</v>
      </c>
      <c r="S27" s="8">
        <v>3.6</v>
      </c>
      <c r="W27" s="20"/>
      <c r="X27" s="21"/>
      <c r="Y27" s="22"/>
    </row>
    <row r="28" spans="2:25" x14ac:dyDescent="0.3">
      <c r="H28" s="6" t="s">
        <v>40</v>
      </c>
      <c r="I28" s="1">
        <v>13</v>
      </c>
      <c r="M28" s="10" t="s">
        <v>40</v>
      </c>
      <c r="N28" s="8">
        <v>25.76923076923077</v>
      </c>
      <c r="R28" s="10" t="s">
        <v>43</v>
      </c>
      <c r="S28" s="8">
        <v>5.8571428571428568</v>
      </c>
    </row>
    <row r="29" spans="2:25" x14ac:dyDescent="0.3">
      <c r="B29" s="6" t="s">
        <v>63</v>
      </c>
      <c r="H29" s="6" t="s">
        <v>41</v>
      </c>
      <c r="I29" s="1">
        <v>16</v>
      </c>
      <c r="M29" s="10" t="s">
        <v>41</v>
      </c>
      <c r="N29" s="8">
        <v>37.125</v>
      </c>
      <c r="R29" s="10" t="s">
        <v>44</v>
      </c>
      <c r="S29" s="8">
        <v>6.25</v>
      </c>
    </row>
    <row r="30" spans="2:25" x14ac:dyDescent="0.3">
      <c r="B30" s="2" t="s">
        <v>21</v>
      </c>
      <c r="C30" t="s">
        <v>62</v>
      </c>
      <c r="H30" s="6" t="s">
        <v>42</v>
      </c>
      <c r="I30" s="1">
        <v>18</v>
      </c>
      <c r="M30" s="10" t="s">
        <v>42</v>
      </c>
      <c r="N30" s="8">
        <v>37</v>
      </c>
      <c r="R30" s="10" t="s">
        <v>45</v>
      </c>
      <c r="S30" s="8">
        <v>4.666666666666667</v>
      </c>
    </row>
    <row r="31" spans="2:25" x14ac:dyDescent="0.3">
      <c r="B31" s="6" t="s">
        <v>7</v>
      </c>
      <c r="C31" s="8">
        <v>268</v>
      </c>
      <c r="H31" s="6" t="s">
        <v>43</v>
      </c>
      <c r="I31" s="1">
        <v>21</v>
      </c>
      <c r="M31" s="10" t="s">
        <v>43</v>
      </c>
      <c r="N31" s="8">
        <v>36.80952380952381</v>
      </c>
      <c r="R31" s="10" t="s">
        <v>46</v>
      </c>
      <c r="S31" s="8">
        <v>0</v>
      </c>
    </row>
    <row r="32" spans="2:25" x14ac:dyDescent="0.3">
      <c r="B32" s="6" t="s">
        <v>10</v>
      </c>
      <c r="C32" s="8">
        <v>201</v>
      </c>
      <c r="H32" s="6" t="s">
        <v>44</v>
      </c>
      <c r="I32" s="1">
        <v>15</v>
      </c>
      <c r="M32" s="10" t="s">
        <v>44</v>
      </c>
      <c r="N32" s="8">
        <v>39.799999999999997</v>
      </c>
      <c r="R32" s="10" t="s">
        <v>47</v>
      </c>
      <c r="S32" s="8">
        <v>4.666666666666667</v>
      </c>
    </row>
    <row r="33" spans="2:19" x14ac:dyDescent="0.3">
      <c r="B33" s="6" t="s">
        <v>19</v>
      </c>
      <c r="C33" s="3">
        <v>469</v>
      </c>
      <c r="H33" s="6" t="s">
        <v>45</v>
      </c>
      <c r="I33" s="1">
        <v>18</v>
      </c>
      <c r="M33" s="10" t="s">
        <v>45</v>
      </c>
      <c r="N33" s="8">
        <v>38</v>
      </c>
      <c r="R33" s="10" t="s">
        <v>48</v>
      </c>
      <c r="S33" s="8">
        <v>2.8</v>
      </c>
    </row>
    <row r="34" spans="2:19" x14ac:dyDescent="0.3">
      <c r="H34" s="6" t="s">
        <v>46</v>
      </c>
      <c r="I34" s="1">
        <v>15</v>
      </c>
      <c r="M34" s="10" t="s">
        <v>46</v>
      </c>
      <c r="N34" s="8">
        <v>36.133333333333333</v>
      </c>
      <c r="R34" s="10" t="s">
        <v>49</v>
      </c>
      <c r="S34" s="8">
        <v>4.2</v>
      </c>
    </row>
    <row r="35" spans="2:19" x14ac:dyDescent="0.3">
      <c r="H35" s="6" t="s">
        <v>47</v>
      </c>
      <c r="I35" s="1">
        <v>18</v>
      </c>
      <c r="M35" s="10" t="s">
        <v>47</v>
      </c>
      <c r="N35" s="8">
        <v>36.555555555555557</v>
      </c>
      <c r="R35" s="10" t="s">
        <v>50</v>
      </c>
      <c r="S35" s="8">
        <v>2.5</v>
      </c>
    </row>
    <row r="36" spans="2:19" x14ac:dyDescent="0.3">
      <c r="B36" s="2" t="s">
        <v>21</v>
      </c>
      <c r="C36" t="s">
        <v>64</v>
      </c>
      <c r="H36" s="6" t="s">
        <v>48</v>
      </c>
      <c r="I36" s="1">
        <v>19</v>
      </c>
      <c r="M36" s="10" t="s">
        <v>48</v>
      </c>
      <c r="N36" s="8">
        <v>39.210526315789473</v>
      </c>
      <c r="R36" s="10" t="s">
        <v>51</v>
      </c>
      <c r="S36" s="8">
        <v>5</v>
      </c>
    </row>
    <row r="37" spans="2:19" x14ac:dyDescent="0.3">
      <c r="B37" s="6" t="s">
        <v>16</v>
      </c>
      <c r="C37" s="3">
        <v>241</v>
      </c>
      <c r="H37" s="6" t="s">
        <v>49</v>
      </c>
      <c r="I37" s="1">
        <v>16</v>
      </c>
      <c r="M37" s="10" t="s">
        <v>49</v>
      </c>
      <c r="N37" s="8">
        <v>31.1875</v>
      </c>
      <c r="R37" s="10" t="s">
        <v>19</v>
      </c>
      <c r="S37" s="8">
        <v>4.6269841269841274</v>
      </c>
    </row>
    <row r="38" spans="2:19" x14ac:dyDescent="0.3">
      <c r="B38" s="6" t="s">
        <v>3</v>
      </c>
      <c r="C38" s="3">
        <v>228</v>
      </c>
      <c r="H38" s="6" t="s">
        <v>50</v>
      </c>
      <c r="I38" s="1">
        <v>13</v>
      </c>
      <c r="M38" s="10" t="s">
        <v>50</v>
      </c>
      <c r="N38" s="8">
        <v>35.153846153846153</v>
      </c>
    </row>
    <row r="39" spans="2:19" x14ac:dyDescent="0.3">
      <c r="B39" s="6" t="s">
        <v>19</v>
      </c>
      <c r="C39" s="3">
        <v>469</v>
      </c>
      <c r="H39" s="6" t="s">
        <v>51</v>
      </c>
      <c r="I39" s="1">
        <v>16</v>
      </c>
      <c r="M39" s="10" t="s">
        <v>51</v>
      </c>
      <c r="N39" s="8">
        <v>34.25</v>
      </c>
    </row>
    <row r="40" spans="2:19" x14ac:dyDescent="0.3">
      <c r="H40" s="6" t="s">
        <v>19</v>
      </c>
      <c r="I40" s="1">
        <v>469</v>
      </c>
      <c r="M40" s="10" t="s">
        <v>19</v>
      </c>
      <c r="N40" s="8">
        <v>35.044776119402982</v>
      </c>
    </row>
    <row r="70" spans="2:11" x14ac:dyDescent="0.3">
      <c r="F70" s="6"/>
      <c r="G70" s="3"/>
    </row>
    <row r="71" spans="2:11" x14ac:dyDescent="0.3">
      <c r="F71" s="6"/>
      <c r="G71" s="3"/>
    </row>
    <row r="79" spans="2:11" x14ac:dyDescent="0.3">
      <c r="J79" s="2" t="s">
        <v>21</v>
      </c>
      <c r="K79" t="s">
        <v>65</v>
      </c>
    </row>
    <row r="80" spans="2:11" x14ac:dyDescent="0.3">
      <c r="B80" s="2" t="s">
        <v>21</v>
      </c>
      <c r="J80" s="6" t="s">
        <v>72</v>
      </c>
      <c r="K80" s="8">
        <v>3</v>
      </c>
    </row>
    <row r="81" spans="2:11" x14ac:dyDescent="0.3">
      <c r="B81" s="6" t="s">
        <v>20</v>
      </c>
      <c r="J81" s="6" t="s">
        <v>67</v>
      </c>
      <c r="K81" s="8">
        <v>8</v>
      </c>
    </row>
    <row r="82" spans="2:11" x14ac:dyDescent="0.3">
      <c r="B82" s="6" t="s">
        <v>19</v>
      </c>
      <c r="J82" s="6" t="s">
        <v>69</v>
      </c>
      <c r="K82" s="8">
        <v>10</v>
      </c>
    </row>
    <row r="83" spans="2:11" x14ac:dyDescent="0.3">
      <c r="J83" s="6" t="s">
        <v>66</v>
      </c>
      <c r="K83" s="8">
        <v>13</v>
      </c>
    </row>
    <row r="84" spans="2:11" x14ac:dyDescent="0.3">
      <c r="J84" s="6" t="s">
        <v>71</v>
      </c>
      <c r="K84" s="8">
        <v>15</v>
      </c>
    </row>
    <row r="85" spans="2:11" x14ac:dyDescent="0.3">
      <c r="J85" s="6" t="s">
        <v>70</v>
      </c>
      <c r="K85" s="8">
        <v>44</v>
      </c>
    </row>
    <row r="86" spans="2:11" x14ac:dyDescent="0.3">
      <c r="J86" s="6" t="s">
        <v>68</v>
      </c>
      <c r="K86" s="8">
        <v>92</v>
      </c>
    </row>
    <row r="87" spans="2:11" x14ac:dyDescent="0.3">
      <c r="J87" s="6" t="s">
        <v>4</v>
      </c>
      <c r="K87" s="8">
        <v>284</v>
      </c>
    </row>
    <row r="88" spans="2:11" x14ac:dyDescent="0.3">
      <c r="J88" s="6" t="s">
        <v>19</v>
      </c>
      <c r="K88" s="3">
        <v>469</v>
      </c>
    </row>
    <row r="388" spans="5:11" ht="9.6" customHeight="1" x14ac:dyDescent="0.3">
      <c r="E388" s="25"/>
      <c r="F388" s="25"/>
      <c r="G388" s="25"/>
      <c r="H388" s="25"/>
      <c r="I388" s="25"/>
      <c r="J388" s="25"/>
      <c r="K388" s="25"/>
    </row>
    <row r="389" spans="5:11" ht="18" customHeight="1" x14ac:dyDescent="0.3">
      <c r="E389" s="25"/>
    </row>
    <row r="390" spans="5:11" x14ac:dyDescent="0.3">
      <c r="E390" s="25"/>
    </row>
    <row r="391" spans="5:11" x14ac:dyDescent="0.3">
      <c r="E391" s="25"/>
    </row>
    <row r="392" spans="5:11" x14ac:dyDescent="0.3">
      <c r="E392" s="25"/>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9672-74E6-483D-ADC9-F5C7FFBC79DB}">
  <dimension ref="A1"/>
  <sheetViews>
    <sheetView tabSelected="1" zoomScale="126" zoomScaleNormal="102" workbookViewId="0"/>
  </sheetViews>
  <sheetFormatPr defaultRowHeight="14.4" x14ac:dyDescent="0.3"/>
  <cols>
    <col min="1" max="16384" width="8.88671875" style="5"/>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4C1E6-C7CB-4C91-9EFF-9C7A6980737A}">
  <dimension ref="A1:T33"/>
  <sheetViews>
    <sheetView workbookViewId="0"/>
  </sheetViews>
  <sheetFormatPr defaultRowHeight="14.4" x14ac:dyDescent="0.3"/>
  <sheetData>
    <row r="1" spans="1:20" x14ac:dyDescent="0.3">
      <c r="A1" s="4"/>
      <c r="B1" s="4"/>
      <c r="C1" s="11"/>
      <c r="D1" s="11"/>
      <c r="E1" s="11"/>
      <c r="F1" s="11"/>
      <c r="G1" s="11"/>
      <c r="H1" s="11"/>
      <c r="I1" s="11"/>
      <c r="J1" s="11"/>
      <c r="K1" s="11"/>
      <c r="L1" s="11"/>
      <c r="M1" s="11"/>
      <c r="N1" s="11"/>
      <c r="O1" s="11"/>
      <c r="P1" s="11"/>
      <c r="Q1" s="11"/>
      <c r="R1" s="11"/>
      <c r="S1" s="11"/>
      <c r="T1" s="11"/>
    </row>
    <row r="2" spans="1:20" x14ac:dyDescent="0.3">
      <c r="A2" s="4"/>
      <c r="B2" s="4"/>
      <c r="C2" s="11"/>
      <c r="D2" s="11"/>
      <c r="E2" s="11"/>
      <c r="F2" s="11"/>
      <c r="G2" s="11"/>
      <c r="H2" s="11"/>
      <c r="I2" s="11"/>
      <c r="J2" s="11"/>
      <c r="K2" s="11"/>
      <c r="L2" s="11"/>
      <c r="M2" s="11"/>
      <c r="N2" s="11"/>
      <c r="O2" s="11"/>
      <c r="P2" s="11"/>
      <c r="Q2" s="11"/>
      <c r="R2" s="11"/>
      <c r="S2" s="11"/>
      <c r="T2" s="11"/>
    </row>
    <row r="3" spans="1:20" x14ac:dyDescent="0.3">
      <c r="A3" s="4"/>
      <c r="B3" s="4"/>
      <c r="C3" s="11"/>
      <c r="D3" s="11"/>
      <c r="E3" s="11"/>
      <c r="F3" s="11"/>
      <c r="G3" s="11"/>
      <c r="H3" s="11"/>
      <c r="I3" s="11"/>
      <c r="J3" s="11"/>
      <c r="K3" s="11"/>
      <c r="L3" s="11"/>
      <c r="M3" s="11"/>
      <c r="N3" s="11"/>
      <c r="O3" s="11"/>
      <c r="P3" s="11"/>
      <c r="Q3" s="11"/>
      <c r="R3" s="11"/>
      <c r="S3" s="11"/>
      <c r="T3" s="11"/>
    </row>
    <row r="4" spans="1:20" x14ac:dyDescent="0.3">
      <c r="A4" s="4"/>
      <c r="B4" s="4"/>
      <c r="C4" s="11"/>
      <c r="D4" s="11"/>
      <c r="E4" s="11"/>
      <c r="F4" s="11"/>
      <c r="G4" s="11"/>
      <c r="H4" s="11"/>
      <c r="I4" s="11"/>
      <c r="J4" s="11"/>
      <c r="K4" s="11"/>
      <c r="L4" s="11"/>
      <c r="M4" s="11"/>
      <c r="N4" s="11"/>
      <c r="O4" s="11"/>
      <c r="P4" s="11"/>
      <c r="Q4" s="11"/>
      <c r="R4" s="11"/>
      <c r="S4" s="11"/>
      <c r="T4" s="11"/>
    </row>
    <row r="5" spans="1:20" x14ac:dyDescent="0.3">
      <c r="A5" s="4"/>
      <c r="B5" s="4"/>
      <c r="C5" s="11"/>
      <c r="D5" s="11"/>
      <c r="E5" s="11"/>
      <c r="F5" s="11"/>
      <c r="G5" s="11"/>
      <c r="H5" s="11"/>
      <c r="I5" s="11"/>
      <c r="J5" s="11"/>
      <c r="K5" s="11"/>
      <c r="L5" s="11"/>
      <c r="M5" s="11"/>
      <c r="N5" s="11"/>
      <c r="O5" s="11"/>
      <c r="P5" s="11"/>
      <c r="Q5" s="11"/>
      <c r="R5" s="11"/>
      <c r="S5" s="11"/>
      <c r="T5" s="11"/>
    </row>
    <row r="6" spans="1:20" x14ac:dyDescent="0.3">
      <c r="A6" s="4"/>
      <c r="B6" s="4"/>
      <c r="C6" s="11"/>
      <c r="D6" s="11"/>
      <c r="E6" s="11"/>
      <c r="F6" s="11"/>
      <c r="G6" s="11"/>
      <c r="H6" s="11"/>
      <c r="I6" s="11"/>
      <c r="J6" s="11"/>
      <c r="K6" s="11"/>
      <c r="L6" s="11"/>
      <c r="M6" s="11"/>
      <c r="N6" s="11"/>
      <c r="O6" s="11"/>
      <c r="P6" s="11"/>
      <c r="Q6" s="11"/>
      <c r="R6" s="11"/>
      <c r="S6" s="11"/>
      <c r="T6" s="11"/>
    </row>
    <row r="7" spans="1:20" x14ac:dyDescent="0.3">
      <c r="A7" s="4"/>
      <c r="B7" s="4"/>
      <c r="C7" s="11"/>
      <c r="D7" s="11"/>
      <c r="E7" s="11"/>
      <c r="F7" s="11"/>
      <c r="G7" s="11"/>
      <c r="H7" s="11"/>
      <c r="I7" s="11"/>
      <c r="J7" s="11"/>
      <c r="K7" s="11"/>
      <c r="L7" s="11"/>
      <c r="M7" s="11"/>
      <c r="N7" s="11"/>
      <c r="O7" s="11"/>
      <c r="P7" s="11"/>
      <c r="Q7" s="11"/>
      <c r="R7" s="11"/>
      <c r="S7" s="11"/>
      <c r="T7" s="11"/>
    </row>
    <row r="8" spans="1:20" x14ac:dyDescent="0.3">
      <c r="A8" s="4"/>
      <c r="B8" s="4"/>
      <c r="C8" s="11"/>
      <c r="D8" s="11"/>
      <c r="E8" s="11"/>
      <c r="F8" s="11"/>
      <c r="G8" s="11"/>
      <c r="H8" s="11"/>
      <c r="I8" s="11"/>
      <c r="J8" s="11"/>
      <c r="K8" s="11"/>
      <c r="L8" s="11"/>
      <c r="M8" s="11"/>
      <c r="N8" s="11"/>
      <c r="O8" s="11"/>
      <c r="P8" s="11"/>
      <c r="Q8" s="11"/>
      <c r="R8" s="11"/>
      <c r="S8" s="11"/>
      <c r="T8" s="11"/>
    </row>
    <row r="9" spans="1:20" x14ac:dyDescent="0.3">
      <c r="A9" s="4"/>
      <c r="B9" s="4"/>
      <c r="C9" s="11"/>
      <c r="D9" s="11"/>
      <c r="E9" s="11"/>
      <c r="F9" s="11"/>
      <c r="G9" s="11"/>
      <c r="H9" s="11"/>
      <c r="I9" s="11"/>
      <c r="J9" s="11"/>
      <c r="K9" s="11"/>
      <c r="L9" s="11"/>
      <c r="M9" s="11"/>
      <c r="N9" s="11"/>
      <c r="O9" s="11"/>
      <c r="P9" s="11"/>
      <c r="Q9" s="11"/>
      <c r="R9" s="11"/>
      <c r="S9" s="11"/>
      <c r="T9" s="11"/>
    </row>
    <row r="10" spans="1:20" x14ac:dyDescent="0.3">
      <c r="A10" s="4"/>
      <c r="B10" s="4"/>
      <c r="C10" s="11"/>
      <c r="D10" s="11"/>
      <c r="E10" s="11"/>
      <c r="F10" s="11"/>
      <c r="G10" s="11"/>
      <c r="H10" s="11"/>
      <c r="I10" s="11"/>
      <c r="J10" s="11"/>
      <c r="K10" s="11"/>
      <c r="L10" s="11"/>
      <c r="M10" s="11"/>
      <c r="N10" s="11"/>
      <c r="O10" s="11"/>
      <c r="P10" s="11"/>
      <c r="Q10" s="11"/>
      <c r="R10" s="11"/>
      <c r="S10" s="11"/>
      <c r="T10" s="11"/>
    </row>
    <row r="11" spans="1:20" x14ac:dyDescent="0.3">
      <c r="A11" s="4"/>
      <c r="B11" s="4"/>
      <c r="C11" s="11"/>
      <c r="D11" s="11"/>
      <c r="E11" s="11"/>
      <c r="F11" s="11"/>
      <c r="G11" s="11"/>
      <c r="H11" s="11"/>
      <c r="I11" s="11"/>
      <c r="J11" s="11"/>
      <c r="K11" s="11"/>
      <c r="L11" s="11"/>
      <c r="M11" s="11"/>
      <c r="N11" s="11"/>
      <c r="O11" s="11"/>
      <c r="P11" s="11"/>
      <c r="Q11" s="11"/>
      <c r="R11" s="11"/>
      <c r="S11" s="11"/>
      <c r="T11" s="11"/>
    </row>
    <row r="12" spans="1:20" x14ac:dyDescent="0.3">
      <c r="A12" s="4"/>
      <c r="B12" s="4"/>
      <c r="C12" s="11"/>
      <c r="D12" s="11"/>
      <c r="E12" s="11"/>
      <c r="F12" s="11"/>
      <c r="G12" s="11"/>
      <c r="H12" s="11"/>
      <c r="I12" s="11"/>
      <c r="J12" s="11"/>
      <c r="K12" s="11"/>
      <c r="L12" s="11"/>
      <c r="M12" s="11"/>
      <c r="N12" s="11"/>
      <c r="O12" s="11"/>
      <c r="P12" s="11"/>
      <c r="Q12" s="11"/>
      <c r="R12" s="11"/>
      <c r="S12" s="11"/>
      <c r="T12" s="11"/>
    </row>
    <row r="13" spans="1:20" x14ac:dyDescent="0.3">
      <c r="A13" s="4"/>
      <c r="B13" s="4"/>
      <c r="C13" s="11"/>
      <c r="D13" s="11"/>
      <c r="E13" s="11"/>
      <c r="F13" s="11"/>
      <c r="G13" s="11"/>
      <c r="H13" s="11"/>
      <c r="I13" s="11"/>
      <c r="J13" s="11"/>
      <c r="K13" s="11"/>
      <c r="L13" s="11"/>
      <c r="M13" s="11"/>
      <c r="N13" s="11"/>
      <c r="O13" s="11"/>
      <c r="P13" s="11"/>
      <c r="Q13" s="11"/>
      <c r="R13" s="11"/>
      <c r="S13" s="11"/>
      <c r="T13" s="11"/>
    </row>
    <row r="14" spans="1:20" x14ac:dyDescent="0.3">
      <c r="A14" s="4"/>
      <c r="B14" s="4"/>
      <c r="C14" s="11"/>
      <c r="D14" s="11"/>
      <c r="E14" s="11"/>
      <c r="F14" s="11"/>
      <c r="G14" s="11"/>
      <c r="H14" s="11"/>
      <c r="I14" s="11"/>
      <c r="J14" s="11"/>
      <c r="K14" s="11"/>
      <c r="L14" s="11"/>
      <c r="M14" s="11"/>
      <c r="N14" s="11"/>
      <c r="O14" s="11"/>
      <c r="P14" s="11"/>
      <c r="Q14" s="11"/>
      <c r="R14" s="11"/>
      <c r="S14" s="11"/>
      <c r="T14" s="11"/>
    </row>
    <row r="15" spans="1:20" x14ac:dyDescent="0.3">
      <c r="A15" s="4"/>
      <c r="B15" s="4"/>
      <c r="C15" s="11"/>
      <c r="D15" s="11"/>
      <c r="E15" s="11"/>
      <c r="F15" s="11"/>
      <c r="G15" s="11"/>
      <c r="H15" s="11"/>
      <c r="I15" s="11"/>
      <c r="J15" s="11"/>
      <c r="K15" s="11"/>
      <c r="L15" s="11"/>
      <c r="M15" s="11"/>
      <c r="N15" s="11"/>
      <c r="O15" s="11"/>
      <c r="P15" s="11"/>
      <c r="Q15" s="11"/>
      <c r="R15" s="11"/>
      <c r="S15" s="11"/>
      <c r="T15" s="11"/>
    </row>
    <row r="16" spans="1:20" x14ac:dyDescent="0.3">
      <c r="A16" s="4"/>
      <c r="B16" s="4"/>
      <c r="C16" s="11"/>
      <c r="D16" s="11"/>
      <c r="E16" s="11"/>
      <c r="F16" s="11"/>
      <c r="G16" s="11"/>
      <c r="H16" s="11"/>
      <c r="I16" s="11"/>
      <c r="J16" s="11"/>
      <c r="K16" s="11"/>
      <c r="L16" s="11"/>
      <c r="M16" s="11"/>
      <c r="N16" s="11"/>
      <c r="O16" s="11"/>
      <c r="P16" s="11"/>
      <c r="Q16" s="11"/>
      <c r="R16" s="11"/>
      <c r="S16" s="11"/>
      <c r="T16" s="11"/>
    </row>
    <row r="17" spans="1:20" x14ac:dyDescent="0.3">
      <c r="A17" s="4"/>
      <c r="B17" s="4"/>
      <c r="C17" s="11"/>
      <c r="D17" s="11"/>
      <c r="E17" s="11"/>
      <c r="F17" s="11"/>
      <c r="G17" s="11"/>
      <c r="H17" s="11"/>
      <c r="I17" s="11"/>
      <c r="J17" s="11"/>
      <c r="K17" s="11"/>
      <c r="L17" s="11"/>
      <c r="M17" s="11"/>
      <c r="N17" s="11"/>
      <c r="O17" s="11"/>
      <c r="P17" s="11"/>
      <c r="Q17" s="11"/>
      <c r="R17" s="11"/>
      <c r="S17" s="11"/>
      <c r="T17" s="11"/>
    </row>
    <row r="18" spans="1:20" x14ac:dyDescent="0.3">
      <c r="A18" s="4"/>
      <c r="B18" s="4"/>
      <c r="C18" s="11"/>
      <c r="D18" s="11"/>
      <c r="E18" s="11"/>
      <c r="F18" s="11"/>
      <c r="G18" s="11"/>
      <c r="H18" s="11"/>
      <c r="I18" s="11"/>
      <c r="J18" s="11"/>
      <c r="K18" s="11"/>
      <c r="L18" s="11"/>
      <c r="M18" s="11"/>
      <c r="N18" s="11"/>
      <c r="O18" s="11"/>
      <c r="P18" s="11"/>
      <c r="Q18" s="11"/>
      <c r="R18" s="11"/>
      <c r="S18" s="11"/>
      <c r="T18" s="11"/>
    </row>
    <row r="19" spans="1:20" x14ac:dyDescent="0.3">
      <c r="A19" s="4"/>
      <c r="B19" s="4"/>
      <c r="C19" s="11"/>
      <c r="D19" s="11"/>
      <c r="E19" s="11"/>
      <c r="F19" s="11"/>
      <c r="G19" s="11"/>
      <c r="H19" s="11"/>
      <c r="I19" s="11"/>
      <c r="J19" s="11"/>
      <c r="K19" s="11"/>
      <c r="L19" s="11"/>
      <c r="M19" s="11"/>
      <c r="N19" s="11"/>
      <c r="O19" s="11"/>
      <c r="P19" s="11"/>
      <c r="Q19" s="11"/>
      <c r="R19" s="11"/>
      <c r="S19" s="11"/>
      <c r="T19" s="11"/>
    </row>
    <row r="20" spans="1:20" x14ac:dyDescent="0.3">
      <c r="A20" s="4"/>
      <c r="B20" s="4"/>
      <c r="C20" s="11"/>
      <c r="D20" s="11"/>
      <c r="E20" s="11"/>
      <c r="F20" s="11"/>
      <c r="G20" s="11"/>
      <c r="H20" s="11"/>
      <c r="I20" s="11"/>
      <c r="J20" s="11"/>
      <c r="K20" s="11"/>
      <c r="L20" s="11"/>
      <c r="M20" s="11"/>
      <c r="N20" s="11"/>
      <c r="O20" s="11"/>
      <c r="P20" s="11"/>
      <c r="Q20" s="11"/>
      <c r="R20" s="11"/>
      <c r="S20" s="11"/>
      <c r="T20" s="11"/>
    </row>
    <row r="21" spans="1:20" x14ac:dyDescent="0.3">
      <c r="A21" s="4"/>
      <c r="B21" s="4"/>
      <c r="C21" s="11"/>
      <c r="D21" s="11"/>
      <c r="E21" s="11"/>
      <c r="F21" s="11"/>
      <c r="G21" s="11"/>
      <c r="H21" s="11"/>
      <c r="I21" s="11"/>
      <c r="J21" s="11"/>
      <c r="K21" s="11"/>
      <c r="L21" s="11"/>
      <c r="M21" s="11"/>
      <c r="N21" s="11"/>
      <c r="O21" s="11"/>
      <c r="P21" s="11"/>
      <c r="Q21" s="11"/>
      <c r="R21" s="11"/>
      <c r="S21" s="11"/>
      <c r="T21" s="11"/>
    </row>
    <row r="22" spans="1:20" x14ac:dyDescent="0.3">
      <c r="A22" s="4"/>
      <c r="B22" s="4"/>
      <c r="C22" s="11"/>
      <c r="D22" s="11"/>
      <c r="E22" s="11"/>
      <c r="F22" s="11"/>
      <c r="G22" s="11"/>
      <c r="H22" s="11"/>
      <c r="I22" s="11"/>
      <c r="J22" s="11"/>
      <c r="K22" s="11"/>
      <c r="L22" s="11"/>
      <c r="M22" s="11"/>
      <c r="N22" s="11"/>
      <c r="O22" s="11"/>
      <c r="P22" s="11"/>
      <c r="Q22" s="11"/>
      <c r="R22" s="11"/>
      <c r="S22" s="11"/>
      <c r="T22" s="11"/>
    </row>
    <row r="23" spans="1:20" x14ac:dyDescent="0.3">
      <c r="A23" s="4"/>
      <c r="B23" s="4"/>
      <c r="C23" s="11"/>
      <c r="D23" s="11"/>
      <c r="E23" s="11"/>
      <c r="F23" s="11"/>
      <c r="G23" s="11"/>
      <c r="H23" s="11"/>
      <c r="I23" s="11"/>
      <c r="J23" s="11"/>
      <c r="K23" s="11"/>
      <c r="L23" s="11"/>
      <c r="M23" s="11"/>
      <c r="N23" s="11"/>
      <c r="O23" s="11"/>
      <c r="P23" s="11"/>
      <c r="Q23" s="11"/>
      <c r="R23" s="11"/>
      <c r="S23" s="11"/>
      <c r="T23" s="11"/>
    </row>
    <row r="24" spans="1:20" x14ac:dyDescent="0.3">
      <c r="A24" s="4"/>
      <c r="B24" s="4"/>
      <c r="C24" s="11"/>
      <c r="D24" s="11"/>
      <c r="E24" s="11"/>
      <c r="F24" s="11"/>
      <c r="G24" s="11"/>
      <c r="H24" s="11"/>
      <c r="I24" s="11"/>
      <c r="J24" s="11"/>
      <c r="K24" s="11"/>
      <c r="L24" s="11"/>
      <c r="M24" s="11"/>
      <c r="N24" s="11"/>
      <c r="O24" s="11"/>
      <c r="P24" s="11"/>
      <c r="Q24" s="11"/>
      <c r="R24" s="11"/>
      <c r="S24" s="11"/>
      <c r="T24" s="11"/>
    </row>
    <row r="25" spans="1:20" x14ac:dyDescent="0.3">
      <c r="A25" s="4"/>
      <c r="B25" s="4"/>
      <c r="C25" s="11"/>
      <c r="D25" s="11"/>
      <c r="E25" s="11"/>
      <c r="F25" s="11"/>
      <c r="G25" s="11"/>
      <c r="H25" s="11"/>
      <c r="I25" s="11"/>
      <c r="J25" s="11"/>
      <c r="K25" s="11"/>
      <c r="L25" s="11"/>
      <c r="M25" s="11"/>
      <c r="N25" s="11"/>
      <c r="O25" s="11"/>
      <c r="P25" s="11"/>
      <c r="Q25" s="11"/>
      <c r="R25" s="11"/>
      <c r="S25" s="11"/>
      <c r="T25" s="11"/>
    </row>
    <row r="26" spans="1:20" x14ac:dyDescent="0.3">
      <c r="A26" s="4"/>
      <c r="B26" s="4"/>
      <c r="C26" s="11"/>
      <c r="D26" s="11"/>
      <c r="E26" s="11"/>
      <c r="F26" s="11"/>
      <c r="G26" s="11"/>
      <c r="H26" s="11"/>
      <c r="I26" s="11"/>
      <c r="J26" s="11"/>
      <c r="K26" s="11"/>
      <c r="L26" s="11"/>
      <c r="M26" s="11"/>
      <c r="N26" s="11"/>
      <c r="O26" s="11"/>
      <c r="P26" s="11"/>
      <c r="Q26" s="11"/>
      <c r="R26" s="11"/>
      <c r="S26" s="11"/>
      <c r="T26" s="11"/>
    </row>
    <row r="27" spans="1:20" x14ac:dyDescent="0.3">
      <c r="A27" s="4"/>
      <c r="B27" s="4"/>
      <c r="C27" s="11"/>
      <c r="D27" s="11"/>
      <c r="E27" s="11"/>
      <c r="F27" s="11"/>
      <c r="G27" s="11"/>
      <c r="H27" s="11"/>
      <c r="I27" s="11"/>
      <c r="J27" s="11"/>
      <c r="K27" s="11"/>
      <c r="L27" s="11"/>
      <c r="M27" s="11"/>
      <c r="N27" s="11"/>
      <c r="O27" s="11"/>
      <c r="P27" s="11"/>
      <c r="Q27" s="11"/>
      <c r="R27" s="11"/>
      <c r="S27" s="11"/>
      <c r="T27" s="11"/>
    </row>
    <row r="28" spans="1:20" x14ac:dyDescent="0.3">
      <c r="A28" s="4"/>
      <c r="B28" s="4"/>
      <c r="C28" s="11"/>
      <c r="D28" s="11"/>
      <c r="E28" s="11"/>
      <c r="F28" s="11"/>
      <c r="G28" s="11"/>
      <c r="H28" s="11"/>
      <c r="I28" s="11"/>
      <c r="J28" s="11"/>
      <c r="K28" s="11"/>
      <c r="L28" s="11"/>
      <c r="M28" s="11"/>
      <c r="N28" s="11"/>
      <c r="O28" s="11"/>
      <c r="P28" s="11"/>
      <c r="Q28" s="11"/>
      <c r="R28" s="11"/>
      <c r="S28" s="11"/>
      <c r="T28" s="11"/>
    </row>
    <row r="29" spans="1:20" x14ac:dyDescent="0.3">
      <c r="A29" s="4"/>
      <c r="B29" s="4"/>
      <c r="C29" s="11"/>
      <c r="D29" s="11"/>
      <c r="E29" s="11"/>
      <c r="F29" s="11"/>
      <c r="G29" s="11"/>
      <c r="H29" s="11"/>
      <c r="I29" s="11"/>
      <c r="J29" s="11"/>
      <c r="K29" s="11"/>
      <c r="L29" s="11"/>
      <c r="M29" s="11"/>
      <c r="N29" s="11"/>
      <c r="O29" s="11"/>
      <c r="P29" s="11"/>
      <c r="Q29" s="11"/>
      <c r="R29" s="11"/>
      <c r="S29" s="11"/>
      <c r="T29" s="11"/>
    </row>
    <row r="30" spans="1:20" x14ac:dyDescent="0.3">
      <c r="A30" s="4"/>
      <c r="B30" s="4"/>
      <c r="C30" s="11"/>
      <c r="D30" s="11"/>
      <c r="E30" s="11"/>
      <c r="F30" s="11"/>
      <c r="G30" s="11"/>
      <c r="H30" s="11"/>
      <c r="I30" s="11"/>
      <c r="J30" s="11"/>
      <c r="K30" s="11"/>
      <c r="L30" s="11"/>
      <c r="M30" s="11"/>
      <c r="N30" s="11"/>
      <c r="O30" s="11"/>
      <c r="P30" s="11"/>
      <c r="Q30" s="11"/>
      <c r="R30" s="11"/>
      <c r="S30" s="11"/>
      <c r="T30" s="11"/>
    </row>
    <row r="31" spans="1:20" x14ac:dyDescent="0.3">
      <c r="A31" s="4"/>
      <c r="B31" s="4"/>
      <c r="C31" s="11"/>
      <c r="D31" s="11"/>
      <c r="E31" s="11"/>
      <c r="F31" s="11"/>
      <c r="G31" s="11"/>
      <c r="H31" s="11"/>
      <c r="I31" s="11"/>
      <c r="J31" s="11"/>
      <c r="K31" s="11"/>
      <c r="L31" s="11"/>
      <c r="M31" s="11"/>
      <c r="N31" s="11"/>
      <c r="O31" s="11"/>
      <c r="P31" s="11"/>
      <c r="Q31" s="11"/>
      <c r="R31" s="11"/>
      <c r="S31" s="11"/>
      <c r="T31" s="11"/>
    </row>
    <row r="32" spans="1:20" x14ac:dyDescent="0.3">
      <c r="C32" s="7"/>
      <c r="D32" s="7"/>
      <c r="E32" s="7"/>
      <c r="F32" s="7"/>
      <c r="G32" s="7"/>
      <c r="H32" s="7"/>
      <c r="I32" s="7"/>
      <c r="J32" s="7"/>
      <c r="K32" s="7"/>
      <c r="L32" s="7"/>
      <c r="M32" s="7"/>
      <c r="N32" s="7"/>
      <c r="O32" s="7"/>
      <c r="P32" s="7"/>
      <c r="Q32" s="7"/>
      <c r="R32" s="7"/>
      <c r="S32" s="7"/>
      <c r="T32" s="7"/>
    </row>
    <row r="33" spans="3:20" x14ac:dyDescent="0.3">
      <c r="C33" s="7"/>
      <c r="D33" s="7"/>
      <c r="E33" s="7"/>
      <c r="F33" s="7"/>
      <c r="G33" s="7"/>
      <c r="H33" s="7"/>
      <c r="I33" s="7"/>
      <c r="J33" s="7"/>
      <c r="K33" s="7"/>
      <c r="L33" s="7"/>
      <c r="M33" s="7"/>
      <c r="N33" s="7"/>
      <c r="O33" s="7"/>
      <c r="P33" s="7"/>
      <c r="Q33" s="7"/>
      <c r="R33" s="7"/>
      <c r="S33" s="7"/>
      <c r="T33"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59836-453C-48F7-952B-3AF3F62E99BA}">
  <dimension ref="A1:S33"/>
  <sheetViews>
    <sheetView workbookViewId="0"/>
  </sheetViews>
  <sheetFormatPr defaultRowHeight="14.4" x14ac:dyDescent="0.3"/>
  <sheetData>
    <row r="1" spans="1:19" x14ac:dyDescent="0.3">
      <c r="A1" s="12"/>
      <c r="B1" s="12"/>
      <c r="C1" s="12"/>
      <c r="D1" s="12"/>
      <c r="E1" s="12"/>
      <c r="F1" s="12"/>
      <c r="G1" s="12"/>
      <c r="H1" s="12"/>
      <c r="I1" s="12"/>
      <c r="J1" s="12"/>
      <c r="K1" s="12"/>
      <c r="L1" s="12"/>
      <c r="M1" s="12"/>
      <c r="N1" s="12"/>
      <c r="O1" s="12"/>
      <c r="P1" s="12"/>
      <c r="Q1" s="12"/>
      <c r="R1" s="12"/>
      <c r="S1" s="12"/>
    </row>
    <row r="2" spans="1:19" x14ac:dyDescent="0.3">
      <c r="A2" s="12"/>
      <c r="B2" s="12"/>
      <c r="C2" s="12"/>
      <c r="D2" s="12"/>
      <c r="E2" s="12"/>
      <c r="F2" s="12"/>
      <c r="G2" s="12"/>
      <c r="H2" s="12"/>
      <c r="I2" s="12"/>
      <c r="J2" s="12"/>
      <c r="K2" s="12"/>
      <c r="L2" s="12"/>
      <c r="M2" s="12"/>
      <c r="N2" s="12"/>
      <c r="O2" s="12"/>
      <c r="P2" s="12"/>
      <c r="Q2" s="12"/>
      <c r="R2" s="12"/>
      <c r="S2" s="12"/>
    </row>
    <row r="3" spans="1:19" x14ac:dyDescent="0.3">
      <c r="A3" s="12"/>
      <c r="B3" s="12"/>
      <c r="C3" s="12"/>
      <c r="D3" s="12"/>
      <c r="E3" s="12"/>
      <c r="F3" s="12"/>
      <c r="G3" s="12"/>
      <c r="H3" s="12"/>
      <c r="I3" s="12"/>
      <c r="J3" s="12"/>
      <c r="K3" s="12"/>
      <c r="L3" s="12"/>
      <c r="M3" s="12"/>
      <c r="N3" s="12"/>
      <c r="O3" s="12"/>
      <c r="P3" s="12"/>
      <c r="Q3" s="12"/>
      <c r="R3" s="12"/>
      <c r="S3" s="12"/>
    </row>
    <row r="4" spans="1:19" x14ac:dyDescent="0.3">
      <c r="A4" s="12"/>
      <c r="B4" s="12"/>
      <c r="C4" s="12"/>
      <c r="D4" s="12"/>
      <c r="E4" s="12"/>
      <c r="F4" s="12"/>
      <c r="G4" s="12"/>
      <c r="H4" s="12"/>
      <c r="I4" s="12"/>
      <c r="J4" s="12"/>
      <c r="K4" s="12"/>
      <c r="L4" s="12"/>
      <c r="M4" s="12"/>
      <c r="N4" s="12"/>
      <c r="O4" s="12"/>
      <c r="P4" s="12"/>
      <c r="Q4" s="12"/>
      <c r="R4" s="12"/>
      <c r="S4" s="12"/>
    </row>
    <row r="5" spans="1:19" x14ac:dyDescent="0.3">
      <c r="A5" s="12"/>
      <c r="B5" s="12"/>
      <c r="C5" s="12"/>
      <c r="D5" s="12"/>
      <c r="E5" s="12"/>
      <c r="F5" s="12"/>
      <c r="G5" s="12"/>
      <c r="H5" s="12"/>
      <c r="I5" s="12"/>
      <c r="J5" s="12"/>
      <c r="K5" s="12"/>
      <c r="L5" s="12"/>
      <c r="M5" s="12"/>
      <c r="N5" s="12"/>
      <c r="O5" s="12"/>
      <c r="P5" s="12"/>
      <c r="Q5" s="12"/>
      <c r="R5" s="12"/>
      <c r="S5" s="12"/>
    </row>
    <row r="6" spans="1:19" x14ac:dyDescent="0.3">
      <c r="A6" s="12"/>
      <c r="B6" s="12"/>
      <c r="C6" s="12"/>
      <c r="D6" s="12"/>
      <c r="E6" s="12"/>
      <c r="F6" s="12"/>
      <c r="G6" s="12"/>
      <c r="H6" s="12"/>
      <c r="I6" s="12"/>
      <c r="J6" s="12"/>
      <c r="K6" s="12"/>
      <c r="L6" s="12"/>
      <c r="M6" s="12"/>
      <c r="N6" s="12"/>
      <c r="O6" s="12"/>
      <c r="P6" s="12"/>
      <c r="Q6" s="12"/>
      <c r="R6" s="12"/>
      <c r="S6" s="12"/>
    </row>
    <row r="7" spans="1:19" x14ac:dyDescent="0.3">
      <c r="A7" s="12"/>
      <c r="B7" s="12"/>
      <c r="C7" s="12"/>
      <c r="D7" s="12"/>
      <c r="E7" s="12"/>
      <c r="F7" s="12"/>
      <c r="G7" s="12"/>
      <c r="H7" s="12"/>
      <c r="I7" s="12"/>
      <c r="J7" s="12"/>
      <c r="K7" s="12"/>
      <c r="L7" s="12"/>
      <c r="M7" s="12"/>
      <c r="N7" s="12"/>
      <c r="O7" s="12"/>
      <c r="P7" s="12"/>
      <c r="Q7" s="12"/>
      <c r="R7" s="12"/>
      <c r="S7" s="12"/>
    </row>
    <row r="8" spans="1:19" x14ac:dyDescent="0.3">
      <c r="A8" s="12"/>
      <c r="B8" s="12"/>
      <c r="C8" s="12"/>
      <c r="D8" s="12"/>
      <c r="E8" s="12"/>
      <c r="F8" s="12"/>
      <c r="G8" s="12"/>
      <c r="H8" s="12"/>
      <c r="I8" s="12"/>
      <c r="J8" s="12"/>
      <c r="K8" s="12"/>
      <c r="L8" s="12"/>
      <c r="M8" s="12"/>
      <c r="N8" s="12"/>
      <c r="O8" s="12"/>
      <c r="P8" s="12"/>
      <c r="Q8" s="12"/>
      <c r="R8" s="12"/>
      <c r="S8" s="12"/>
    </row>
    <row r="9" spans="1:19" x14ac:dyDescent="0.3">
      <c r="A9" s="12"/>
      <c r="B9" s="12"/>
      <c r="C9" s="12"/>
      <c r="D9" s="12"/>
      <c r="E9" s="12"/>
      <c r="F9" s="12"/>
      <c r="G9" s="12"/>
      <c r="H9" s="12"/>
      <c r="I9" s="12"/>
      <c r="J9" s="12"/>
      <c r="K9" s="12"/>
      <c r="L9" s="12"/>
      <c r="M9" s="12"/>
      <c r="N9" s="12"/>
      <c r="O9" s="12"/>
      <c r="P9" s="12"/>
      <c r="Q9" s="12"/>
      <c r="R9" s="12"/>
      <c r="S9" s="12"/>
    </row>
    <row r="10" spans="1:19" x14ac:dyDescent="0.3">
      <c r="A10" s="12"/>
      <c r="B10" s="12"/>
      <c r="C10" s="12"/>
      <c r="D10" s="12"/>
      <c r="E10" s="12"/>
      <c r="F10" s="12"/>
      <c r="G10" s="12"/>
      <c r="H10" s="12"/>
      <c r="I10" s="12"/>
      <c r="J10" s="12"/>
      <c r="K10" s="12"/>
      <c r="L10" s="12"/>
      <c r="M10" s="12"/>
      <c r="N10" s="12"/>
      <c r="O10" s="12"/>
      <c r="P10" s="12"/>
      <c r="Q10" s="12"/>
      <c r="R10" s="12"/>
      <c r="S10" s="12"/>
    </row>
    <row r="11" spans="1:19" x14ac:dyDescent="0.3">
      <c r="A11" s="12"/>
      <c r="B11" s="12"/>
      <c r="C11" s="12"/>
      <c r="D11" s="12"/>
      <c r="E11" s="12"/>
      <c r="F11" s="12"/>
      <c r="G11" s="12"/>
      <c r="H11" s="12"/>
      <c r="I11" s="12"/>
      <c r="J11" s="12"/>
      <c r="K11" s="12"/>
      <c r="L11" s="12"/>
      <c r="M11" s="12"/>
      <c r="N11" s="12"/>
      <c r="O11" s="12"/>
      <c r="P11" s="12"/>
      <c r="Q11" s="12"/>
      <c r="R11" s="12"/>
      <c r="S11" s="12"/>
    </row>
    <row r="12" spans="1:19" x14ac:dyDescent="0.3">
      <c r="A12" s="12"/>
      <c r="B12" s="12"/>
      <c r="C12" s="12"/>
      <c r="D12" s="12"/>
      <c r="E12" s="12"/>
      <c r="F12" s="12"/>
      <c r="G12" s="12"/>
      <c r="H12" s="12"/>
      <c r="I12" s="12"/>
      <c r="J12" s="12"/>
      <c r="K12" s="12"/>
      <c r="L12" s="12"/>
      <c r="M12" s="12"/>
      <c r="N12" s="12"/>
      <c r="O12" s="12"/>
      <c r="P12" s="12"/>
      <c r="Q12" s="12"/>
      <c r="R12" s="12"/>
      <c r="S12" s="12"/>
    </row>
    <row r="13" spans="1:19" x14ac:dyDescent="0.3">
      <c r="A13" s="12"/>
      <c r="B13" s="12"/>
      <c r="C13" s="12"/>
      <c r="D13" s="12"/>
      <c r="E13" s="12"/>
      <c r="F13" s="12"/>
      <c r="G13" s="12"/>
      <c r="H13" s="12"/>
      <c r="I13" s="12"/>
      <c r="J13" s="12"/>
      <c r="K13" s="12"/>
      <c r="L13" s="12"/>
      <c r="M13" s="12"/>
      <c r="N13" s="12"/>
      <c r="O13" s="12"/>
      <c r="P13" s="12"/>
      <c r="Q13" s="12"/>
      <c r="R13" s="12"/>
      <c r="S13" s="12"/>
    </row>
    <row r="14" spans="1:19" x14ac:dyDescent="0.3">
      <c r="A14" s="12"/>
      <c r="B14" s="12"/>
      <c r="C14" s="12"/>
      <c r="D14" s="12"/>
      <c r="E14" s="12"/>
      <c r="F14" s="12"/>
      <c r="G14" s="12"/>
      <c r="H14" s="12"/>
      <c r="I14" s="12"/>
      <c r="J14" s="12"/>
      <c r="K14" s="12"/>
      <c r="L14" s="12"/>
      <c r="M14" s="12"/>
      <c r="N14" s="12"/>
      <c r="O14" s="12"/>
      <c r="P14" s="12"/>
      <c r="Q14" s="12"/>
      <c r="R14" s="12"/>
      <c r="S14" s="12"/>
    </row>
    <row r="15" spans="1:19" x14ac:dyDescent="0.3">
      <c r="A15" s="12"/>
      <c r="B15" s="12"/>
      <c r="C15" s="12"/>
      <c r="D15" s="12"/>
      <c r="E15" s="12"/>
      <c r="F15" s="12"/>
      <c r="G15" s="12"/>
      <c r="H15" s="12"/>
      <c r="I15" s="12"/>
      <c r="J15" s="12"/>
      <c r="K15" s="12"/>
      <c r="L15" s="12"/>
      <c r="M15" s="12"/>
      <c r="N15" s="12"/>
      <c r="O15" s="12"/>
      <c r="P15" s="12"/>
      <c r="Q15" s="12"/>
      <c r="R15" s="12"/>
      <c r="S15" s="12"/>
    </row>
    <row r="16" spans="1:19" x14ac:dyDescent="0.3">
      <c r="A16" s="12"/>
      <c r="B16" s="12"/>
      <c r="C16" s="12"/>
      <c r="D16" s="12"/>
      <c r="E16" s="12"/>
      <c r="F16" s="12"/>
      <c r="G16" s="12"/>
      <c r="H16" s="12"/>
      <c r="I16" s="12"/>
      <c r="J16" s="12"/>
      <c r="K16" s="12"/>
      <c r="L16" s="12"/>
      <c r="M16" s="12"/>
      <c r="N16" s="12"/>
      <c r="O16" s="12"/>
      <c r="P16" s="12"/>
      <c r="Q16" s="12"/>
      <c r="R16" s="12"/>
      <c r="S16" s="12"/>
    </row>
    <row r="17" spans="1:19" x14ac:dyDescent="0.3">
      <c r="A17" s="12"/>
      <c r="B17" s="12"/>
      <c r="C17" s="12"/>
      <c r="D17" s="12"/>
      <c r="E17" s="12"/>
      <c r="F17" s="12"/>
      <c r="G17" s="12"/>
      <c r="H17" s="12"/>
      <c r="I17" s="12"/>
      <c r="J17" s="12"/>
      <c r="K17" s="12"/>
      <c r="L17" s="12"/>
      <c r="M17" s="12"/>
      <c r="N17" s="12"/>
      <c r="O17" s="12"/>
      <c r="P17" s="12"/>
      <c r="Q17" s="12"/>
      <c r="R17" s="12"/>
      <c r="S17" s="12"/>
    </row>
    <row r="18" spans="1:19" x14ac:dyDescent="0.3">
      <c r="A18" s="12"/>
      <c r="B18" s="12"/>
      <c r="C18" s="12"/>
      <c r="D18" s="12"/>
      <c r="E18" s="12"/>
      <c r="F18" s="12"/>
      <c r="G18" s="12"/>
      <c r="H18" s="12"/>
      <c r="I18" s="12"/>
      <c r="J18" s="12"/>
      <c r="K18" s="12"/>
      <c r="L18" s="12"/>
      <c r="M18" s="12"/>
      <c r="N18" s="12"/>
      <c r="O18" s="12"/>
      <c r="P18" s="12"/>
      <c r="Q18" s="12"/>
      <c r="R18" s="12"/>
      <c r="S18" s="12"/>
    </row>
    <row r="19" spans="1:19" x14ac:dyDescent="0.3">
      <c r="A19" s="12"/>
      <c r="B19" s="12"/>
      <c r="C19" s="12"/>
      <c r="D19" s="12"/>
      <c r="E19" s="12"/>
      <c r="F19" s="12"/>
      <c r="G19" s="12"/>
      <c r="H19" s="12"/>
      <c r="I19" s="12"/>
      <c r="J19" s="12"/>
      <c r="K19" s="12"/>
      <c r="L19" s="12"/>
      <c r="M19" s="12"/>
      <c r="N19" s="12"/>
      <c r="O19" s="12"/>
      <c r="P19" s="12"/>
      <c r="Q19" s="12"/>
      <c r="R19" s="12"/>
      <c r="S19" s="12"/>
    </row>
    <row r="20" spans="1:19" x14ac:dyDescent="0.3">
      <c r="A20" s="12"/>
      <c r="B20" s="12"/>
      <c r="C20" s="12"/>
      <c r="D20" s="12"/>
      <c r="E20" s="12"/>
      <c r="F20" s="12"/>
      <c r="G20" s="12"/>
      <c r="H20" s="12"/>
      <c r="I20" s="12"/>
      <c r="J20" s="12"/>
      <c r="K20" s="12"/>
      <c r="L20" s="12"/>
      <c r="M20" s="12"/>
      <c r="N20" s="12"/>
      <c r="O20" s="12"/>
      <c r="P20" s="12"/>
      <c r="Q20" s="12"/>
      <c r="R20" s="12"/>
      <c r="S20" s="12"/>
    </row>
    <row r="21" spans="1:19" x14ac:dyDescent="0.3">
      <c r="A21" s="12"/>
      <c r="B21" s="12"/>
      <c r="C21" s="12"/>
      <c r="D21" s="12"/>
      <c r="E21" s="12"/>
      <c r="F21" s="12"/>
      <c r="G21" s="12"/>
      <c r="H21" s="12"/>
      <c r="I21" s="12"/>
      <c r="J21" s="12"/>
      <c r="K21" s="12"/>
      <c r="L21" s="12"/>
      <c r="M21" s="12"/>
      <c r="N21" s="12"/>
      <c r="O21" s="12"/>
      <c r="P21" s="12"/>
      <c r="Q21" s="12"/>
      <c r="R21" s="12"/>
      <c r="S21" s="12"/>
    </row>
    <row r="22" spans="1:19" x14ac:dyDescent="0.3">
      <c r="A22" s="12"/>
      <c r="B22" s="12"/>
      <c r="C22" s="12"/>
      <c r="D22" s="12"/>
      <c r="E22" s="12"/>
      <c r="F22" s="12"/>
      <c r="G22" s="12"/>
      <c r="H22" s="12"/>
      <c r="I22" s="12"/>
      <c r="J22" s="12"/>
      <c r="K22" s="12"/>
      <c r="L22" s="12"/>
      <c r="M22" s="12"/>
      <c r="N22" s="12"/>
      <c r="O22" s="12"/>
      <c r="P22" s="12"/>
      <c r="Q22" s="12"/>
      <c r="R22" s="12"/>
      <c r="S22" s="12"/>
    </row>
    <row r="23" spans="1:19" x14ac:dyDescent="0.3">
      <c r="A23" s="12"/>
      <c r="B23" s="12"/>
      <c r="C23" s="12"/>
      <c r="D23" s="12"/>
      <c r="E23" s="12"/>
      <c r="F23" s="12"/>
      <c r="G23" s="12"/>
      <c r="H23" s="12"/>
      <c r="I23" s="12"/>
      <c r="J23" s="12"/>
      <c r="K23" s="12"/>
      <c r="L23" s="12"/>
      <c r="M23" s="12"/>
      <c r="N23" s="12"/>
      <c r="O23" s="12"/>
      <c r="P23" s="12"/>
      <c r="Q23" s="12"/>
      <c r="R23" s="12"/>
      <c r="S23" s="12"/>
    </row>
    <row r="24" spans="1:19" x14ac:dyDescent="0.3">
      <c r="A24" s="12"/>
      <c r="B24" s="12"/>
      <c r="C24" s="12"/>
      <c r="D24" s="12"/>
      <c r="E24" s="12"/>
      <c r="F24" s="12"/>
      <c r="G24" s="12"/>
      <c r="H24" s="12"/>
      <c r="I24" s="12"/>
      <c r="J24" s="12"/>
      <c r="K24" s="12"/>
      <c r="L24" s="12"/>
      <c r="M24" s="12"/>
      <c r="N24" s="12"/>
      <c r="O24" s="12"/>
      <c r="P24" s="12"/>
      <c r="Q24" s="12"/>
      <c r="R24" s="12"/>
      <c r="S24" s="12"/>
    </row>
    <row r="25" spans="1:19" x14ac:dyDescent="0.3">
      <c r="A25" s="12"/>
      <c r="B25" s="12"/>
      <c r="C25" s="12"/>
      <c r="D25" s="12"/>
      <c r="E25" s="12"/>
      <c r="F25" s="12"/>
      <c r="G25" s="12"/>
      <c r="H25" s="12"/>
      <c r="I25" s="12"/>
      <c r="J25" s="12"/>
      <c r="K25" s="12"/>
      <c r="L25" s="12"/>
      <c r="M25" s="12"/>
      <c r="N25" s="12"/>
      <c r="O25" s="12"/>
      <c r="P25" s="12"/>
      <c r="Q25" s="12"/>
      <c r="R25" s="12"/>
      <c r="S25" s="12"/>
    </row>
    <row r="26" spans="1:19" x14ac:dyDescent="0.3">
      <c r="A26" s="12"/>
      <c r="B26" s="12"/>
      <c r="C26" s="12"/>
      <c r="D26" s="12"/>
      <c r="E26" s="12"/>
      <c r="F26" s="12"/>
      <c r="G26" s="12"/>
      <c r="H26" s="12"/>
      <c r="I26" s="12"/>
      <c r="J26" s="12"/>
      <c r="K26" s="12"/>
      <c r="L26" s="12"/>
      <c r="M26" s="12"/>
      <c r="N26" s="12"/>
      <c r="O26" s="12"/>
      <c r="P26" s="12"/>
      <c r="Q26" s="12"/>
      <c r="R26" s="12"/>
      <c r="S26" s="12"/>
    </row>
    <row r="27" spans="1:19" x14ac:dyDescent="0.3">
      <c r="A27" s="12"/>
      <c r="B27" s="12"/>
      <c r="C27" s="12"/>
      <c r="D27" s="12"/>
      <c r="E27" s="12"/>
      <c r="F27" s="12"/>
      <c r="G27" s="12"/>
      <c r="H27" s="12"/>
      <c r="I27" s="12"/>
      <c r="J27" s="12"/>
      <c r="K27" s="12"/>
      <c r="L27" s="12"/>
      <c r="M27" s="12"/>
      <c r="N27" s="12"/>
      <c r="O27" s="12"/>
      <c r="P27" s="12"/>
      <c r="Q27" s="12"/>
      <c r="R27" s="12"/>
      <c r="S27" s="12"/>
    </row>
    <row r="28" spans="1:19" x14ac:dyDescent="0.3">
      <c r="A28" s="12"/>
      <c r="B28" s="12"/>
      <c r="C28" s="12"/>
      <c r="D28" s="12"/>
      <c r="E28" s="12"/>
      <c r="F28" s="12"/>
      <c r="G28" s="12"/>
      <c r="H28" s="12"/>
      <c r="I28" s="12"/>
      <c r="J28" s="12"/>
      <c r="K28" s="12"/>
      <c r="L28" s="12"/>
      <c r="M28" s="12"/>
      <c r="N28" s="12"/>
      <c r="O28" s="12"/>
      <c r="P28" s="12"/>
      <c r="Q28" s="12"/>
      <c r="R28" s="12"/>
      <c r="S28" s="12"/>
    </row>
    <row r="29" spans="1:19" x14ac:dyDescent="0.3">
      <c r="A29" s="12"/>
      <c r="B29" s="12"/>
      <c r="C29" s="12"/>
      <c r="D29" s="12"/>
      <c r="E29" s="12"/>
      <c r="F29" s="12"/>
      <c r="G29" s="12"/>
      <c r="H29" s="12"/>
      <c r="I29" s="12"/>
      <c r="J29" s="12"/>
      <c r="K29" s="12"/>
      <c r="L29" s="12"/>
      <c r="M29" s="12"/>
      <c r="N29" s="12"/>
      <c r="O29" s="12"/>
      <c r="P29" s="12"/>
      <c r="Q29" s="12"/>
      <c r="R29" s="12"/>
      <c r="S29" s="12"/>
    </row>
    <row r="30" spans="1:19" x14ac:dyDescent="0.3">
      <c r="A30" s="12"/>
      <c r="B30" s="12"/>
      <c r="C30" s="12"/>
      <c r="D30" s="12"/>
      <c r="E30" s="12"/>
      <c r="F30" s="12"/>
      <c r="G30" s="12"/>
      <c r="H30" s="12"/>
      <c r="I30" s="12"/>
      <c r="J30" s="12"/>
      <c r="K30" s="12"/>
      <c r="L30" s="12"/>
      <c r="M30" s="12"/>
      <c r="N30" s="12"/>
      <c r="O30" s="12"/>
      <c r="P30" s="12"/>
      <c r="Q30" s="12"/>
      <c r="R30" s="12"/>
      <c r="S30" s="12"/>
    </row>
    <row r="31" spans="1:19" x14ac:dyDescent="0.3">
      <c r="A31" s="12"/>
      <c r="B31" s="12"/>
      <c r="C31" s="12"/>
      <c r="D31" s="12"/>
      <c r="E31" s="12"/>
      <c r="F31" s="12"/>
      <c r="G31" s="12"/>
      <c r="H31" s="12"/>
      <c r="I31" s="12"/>
      <c r="J31" s="12"/>
      <c r="K31" s="12"/>
      <c r="L31" s="12"/>
      <c r="M31" s="12"/>
      <c r="N31" s="12"/>
      <c r="O31" s="12"/>
      <c r="P31" s="12"/>
      <c r="Q31" s="12"/>
      <c r="R31" s="12"/>
      <c r="S31" s="12"/>
    </row>
    <row r="32" spans="1:19" x14ac:dyDescent="0.3">
      <c r="A32" s="12"/>
      <c r="B32" s="12"/>
      <c r="C32" s="12"/>
      <c r="D32" s="12"/>
      <c r="E32" s="12"/>
      <c r="F32" s="12"/>
      <c r="G32" s="12"/>
      <c r="H32" s="12"/>
      <c r="I32" s="12"/>
      <c r="J32" s="12"/>
      <c r="K32" s="12"/>
      <c r="L32" s="12"/>
      <c r="M32" s="12"/>
      <c r="N32" s="12"/>
      <c r="O32" s="12"/>
      <c r="P32" s="12"/>
      <c r="Q32" s="12"/>
      <c r="R32" s="12"/>
      <c r="S32" s="12"/>
    </row>
    <row r="33" spans="1:19" x14ac:dyDescent="0.3">
      <c r="A33" s="12"/>
      <c r="B33" s="12"/>
      <c r="C33" s="12"/>
      <c r="D33" s="12"/>
      <c r="E33" s="12"/>
      <c r="F33" s="12"/>
      <c r="G33" s="12"/>
      <c r="H33" s="12"/>
      <c r="I33" s="12"/>
      <c r="J33" s="12"/>
      <c r="K33" s="12"/>
      <c r="L33" s="12"/>
      <c r="M33" s="12"/>
      <c r="N33" s="12"/>
      <c r="O33" s="12"/>
      <c r="P33" s="12"/>
      <c r="Q33" s="12"/>
      <c r="R33" s="12"/>
      <c r="S33" s="1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0B924-6E84-4514-B9FF-4717B3EE9290}">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D0BBB-EC06-404D-904A-A363134EF3B7}">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E745DEA-2E9D-42BA-9D5F-30985D10D7AF}">
  <ds:schemaRefs>
    <ds:schemaRef ds:uri="http://schemas.microsoft.com/DataMashup"/>
  </ds:schemaRefs>
</ds:datastoreItem>
</file>

<file path=customXml/itemProps2.xml><?xml version="1.0" encoding="utf-8"?>
<ds:datastoreItem xmlns:ds="http://schemas.openxmlformats.org/officeDocument/2006/customXml" ds:itemID="{055D77AD-E0E2-4A80-A3D9-A99B2C4A2278}">
  <ds:schemaRefs/>
</ds:datastoreItem>
</file>

<file path=customXml/itemProps3.xml><?xml version="1.0" encoding="utf-8"?>
<ds:datastoreItem xmlns:ds="http://schemas.openxmlformats.org/officeDocument/2006/customXml" ds:itemID="{3427395A-3A3E-4036-9C0B-6F9666FB2A77}">
  <ds:schemaRefs/>
</ds:datastoreItem>
</file>

<file path=customXml/itemProps4.xml><?xml version="1.0" encoding="utf-8"?>
<ds:datastoreItem xmlns:ds="http://schemas.openxmlformats.org/officeDocument/2006/customXml" ds:itemID="{B6F25DC5-46AE-4413-8335-1A4AD24A8555}">
  <ds:schemaRefs/>
</ds:datastoreItem>
</file>

<file path=customXml/itemProps5.xml><?xml version="1.0" encoding="utf-8"?>
<ds:datastoreItem xmlns:ds="http://schemas.openxmlformats.org/officeDocument/2006/customXml" ds:itemID="{946A5410-89E6-4AF0-A8A4-2CE4CEA26F9F}">
  <ds:schemaRefs/>
</ds:datastoreItem>
</file>

<file path=customXml/itemProps6.xml><?xml version="1.0" encoding="utf-8"?>
<ds:datastoreItem xmlns:ds="http://schemas.openxmlformats.org/officeDocument/2006/customXml" ds:itemID="{BF48CD87-3CF3-4268-9E61-26BD7BC30A8A}">
  <ds:schemaRefs/>
</ds:datastoreItem>
</file>

<file path=customXml/itemProps7.xml><?xml version="1.0" encoding="utf-8"?>
<ds:datastoreItem xmlns:ds="http://schemas.openxmlformats.org/officeDocument/2006/customXml" ds:itemID="{B0128565-515B-437B-99D4-8AC2645BEA5B}">
  <ds:schemaRefs/>
</ds:datastoreItem>
</file>

<file path=customXml/itemProps8.xml><?xml version="1.0" encoding="utf-8"?>
<ds:datastoreItem xmlns:ds="http://schemas.openxmlformats.org/officeDocument/2006/customXml" ds:itemID="{0205D48E-CC34-433E-926B-177565F6EB94}">
  <ds:schemaRefs/>
</ds:datastoreItem>
</file>

<file path=customXml/itemProps9.xml><?xml version="1.0" encoding="utf-8"?>
<ds:datastoreItem xmlns:ds="http://schemas.openxmlformats.org/officeDocument/2006/customXml" ds:itemID="{0E7EB01B-8057-4BEA-AE71-38FCE5FD0598}">
  <ds:schemaRefs/>
</ds:datastoreItem>
</file>

<file path=customXml/itemProps10.xml><?xml version="1.0" encoding="utf-8"?>
<ds:datastoreItem xmlns:ds="http://schemas.openxmlformats.org/officeDocument/2006/customXml" ds:itemID="{14EE5AEF-AAC4-4074-9703-0A254DD13630}">
  <ds:schemaRefs/>
</ds:datastoreItem>
</file>

<file path=customXml/itemProps11.xml><?xml version="1.0" encoding="utf-8"?>
<ds:datastoreItem xmlns:ds="http://schemas.openxmlformats.org/officeDocument/2006/customXml" ds:itemID="{5C424D23-B319-4FBE-AEB4-79EB8A3802E2}">
  <ds:schemaRefs/>
</ds:datastoreItem>
</file>

<file path=customXml/itemProps12.xml><?xml version="1.0" encoding="utf-8"?>
<ds:datastoreItem xmlns:ds="http://schemas.openxmlformats.org/officeDocument/2006/customXml" ds:itemID="{7570A272-C798-4665-A691-FCAB36613DD4}">
  <ds:schemaRefs/>
</ds:datastoreItem>
</file>

<file path=customXml/itemProps13.xml><?xml version="1.0" encoding="utf-8"?>
<ds:datastoreItem xmlns:ds="http://schemas.openxmlformats.org/officeDocument/2006/customXml" ds:itemID="{71F9789A-4C5F-462C-86F5-C082FBD267AE}">
  <ds:schemaRefs/>
</ds:datastoreItem>
</file>

<file path=customXml/itemProps14.xml><?xml version="1.0" encoding="utf-8"?>
<ds:datastoreItem xmlns:ds="http://schemas.openxmlformats.org/officeDocument/2006/customXml" ds:itemID="{84392881-9C83-4809-8B46-3FAC8DDE81C6}">
  <ds:schemaRefs/>
</ds:datastoreItem>
</file>

<file path=customXml/itemProps15.xml><?xml version="1.0" encoding="utf-8"?>
<ds:datastoreItem xmlns:ds="http://schemas.openxmlformats.org/officeDocument/2006/customXml" ds:itemID="{76E5B38D-D36D-4819-AA64-5FE5869D889A}">
  <ds:schemaRefs/>
</ds:datastoreItem>
</file>

<file path=customXml/itemProps16.xml><?xml version="1.0" encoding="utf-8"?>
<ds:datastoreItem xmlns:ds="http://schemas.openxmlformats.org/officeDocument/2006/customXml" ds:itemID="{FC3118F3-4690-4BDB-8672-22E58A353187}">
  <ds:schemaRefs/>
</ds:datastoreItem>
</file>

<file path=customXml/itemProps17.xml><?xml version="1.0" encoding="utf-8"?>
<ds:datastoreItem xmlns:ds="http://schemas.openxmlformats.org/officeDocument/2006/customXml" ds:itemID="{F455465B-38B2-4AC0-97AA-1B967DD4ADFB}">
  <ds:schemaRefs/>
</ds:datastoreItem>
</file>

<file path=customXml/itemProps18.xml><?xml version="1.0" encoding="utf-8"?>
<ds:datastoreItem xmlns:ds="http://schemas.openxmlformats.org/officeDocument/2006/customXml" ds:itemID="{45FE7B6C-8AE4-4DD0-9EEA-F2C612FCFC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report</vt:lpstr>
      <vt:lpstr>Dashboard</vt:lpstr>
      <vt:lpstr>daily ER patient data</vt:lpstr>
      <vt:lpstr>Average wait time</vt:lpstr>
      <vt:lpstr>satisfaction score</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Vikrant</dc:creator>
  <cp:lastModifiedBy>Rashmi Vikrant</cp:lastModifiedBy>
  <dcterms:created xsi:type="dcterms:W3CDTF">2026-03-16T09:28:22Z</dcterms:created>
  <dcterms:modified xsi:type="dcterms:W3CDTF">2026-03-18T04:37:09Z</dcterms:modified>
</cp:coreProperties>
</file>